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ocuments\3MTT\"/>
    </mc:Choice>
  </mc:AlternateContent>
  <xr:revisionPtr revIDLastSave="0" documentId="13_ncr:1_{2E546CFF-29FA-4C55-AC72-6394D51CDD15}" xr6:coauthVersionLast="47" xr6:coauthVersionMax="47" xr10:uidLastSave="{00000000-0000-0000-0000-000000000000}"/>
  <bookViews>
    <workbookView xWindow="-110" yWindow="-110" windowWidth="19420" windowHeight="10300" firstSheet="1" activeTab="3" xr2:uid="{4AFFCB2F-94C5-4F78-9096-D7364EA26CFA}"/>
  </bookViews>
  <sheets>
    <sheet name="New Country" sheetId="3" state="hidden" r:id="rId1"/>
    <sheet name="Pivot Tables" sheetId="4" r:id="rId2"/>
    <sheet name="Africa Car Sales" sheetId="2" r:id="rId3"/>
    <sheet name="Interactive Dashboard" sheetId="1" r:id="rId4"/>
  </sheets>
  <definedNames>
    <definedName name="_xlchart.v5.0" hidden="1">'Pivot Tables'!$I$4</definedName>
    <definedName name="_xlchart.v5.1" hidden="1">'Pivot Tables'!$I$5:$I$11</definedName>
    <definedName name="_xlchart.v5.2" hidden="1">'Pivot Tables'!$J$4</definedName>
    <definedName name="_xlchart.v5.3" hidden="1">'Pivot Tables'!$J$5:$J$11</definedName>
    <definedName name="ExternalData_1" localSheetId="2" hidden="1">'Africa Car Sales'!$A$1:$T$141</definedName>
    <definedName name="ExternalData_2" localSheetId="0" hidden="1">'New Country'!$A$1:$A$7</definedName>
    <definedName name="Slicer_Car_Make">#N/A</definedName>
    <definedName name="Slicer_Car_Model">#N/A</definedName>
    <definedName name="Slicer_Car_Type">#N/A</definedName>
    <definedName name="Slicer_Car_Year">#N/A</definedName>
    <definedName name="Slicer_Count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41" i="2" l="1"/>
  <c r="R141" i="2"/>
  <c r="Q141" i="2"/>
  <c r="P141" i="2"/>
  <c r="O141" i="2"/>
  <c r="L141" i="2"/>
  <c r="S140" i="2"/>
  <c r="R140" i="2"/>
  <c r="Q140" i="2"/>
  <c r="P140" i="2"/>
  <c r="O140" i="2"/>
  <c r="L140" i="2"/>
  <c r="S139" i="2"/>
  <c r="R139" i="2"/>
  <c r="Q139" i="2"/>
  <c r="P139" i="2"/>
  <c r="O139" i="2"/>
  <c r="L139" i="2"/>
  <c r="S138" i="2"/>
  <c r="R138" i="2"/>
  <c r="Q138" i="2"/>
  <c r="P138" i="2"/>
  <c r="O138" i="2"/>
  <c r="L138" i="2"/>
  <c r="S137" i="2"/>
  <c r="R137" i="2"/>
  <c r="Q137" i="2"/>
  <c r="P137" i="2"/>
  <c r="O137" i="2"/>
  <c r="L137" i="2"/>
  <c r="S136" i="2"/>
  <c r="R136" i="2"/>
  <c r="Q136" i="2"/>
  <c r="P136" i="2"/>
  <c r="O136" i="2"/>
  <c r="L136" i="2"/>
  <c r="S135" i="2"/>
  <c r="R135" i="2"/>
  <c r="Q135" i="2"/>
  <c r="P135" i="2"/>
  <c r="O135" i="2"/>
  <c r="L135" i="2"/>
  <c r="S134" i="2"/>
  <c r="R134" i="2"/>
  <c r="Q134" i="2"/>
  <c r="P134" i="2"/>
  <c r="O134" i="2"/>
  <c r="L134" i="2"/>
  <c r="S133" i="2"/>
  <c r="R133" i="2"/>
  <c r="Q133" i="2"/>
  <c r="P133" i="2"/>
  <c r="O133" i="2"/>
  <c r="L133" i="2"/>
  <c r="S132" i="2"/>
  <c r="R132" i="2"/>
  <c r="Q132" i="2"/>
  <c r="P132" i="2"/>
  <c r="O132" i="2"/>
  <c r="L132" i="2"/>
  <c r="S131" i="2"/>
  <c r="R131" i="2"/>
  <c r="Q131" i="2"/>
  <c r="P131" i="2"/>
  <c r="O131" i="2"/>
  <c r="L131" i="2"/>
  <c r="S130" i="2"/>
  <c r="R130" i="2"/>
  <c r="Q130" i="2"/>
  <c r="P130" i="2"/>
  <c r="O130" i="2"/>
  <c r="L130" i="2"/>
  <c r="S129" i="2"/>
  <c r="R129" i="2"/>
  <c r="Q129" i="2"/>
  <c r="P129" i="2"/>
  <c r="O129" i="2"/>
  <c r="L129" i="2"/>
  <c r="S128" i="2"/>
  <c r="R128" i="2"/>
  <c r="Q128" i="2"/>
  <c r="P128" i="2"/>
  <c r="O128" i="2"/>
  <c r="L128" i="2"/>
  <c r="S127" i="2"/>
  <c r="R127" i="2"/>
  <c r="Q127" i="2"/>
  <c r="P127" i="2"/>
  <c r="O127" i="2"/>
  <c r="L127" i="2"/>
  <c r="S126" i="2"/>
  <c r="R126" i="2"/>
  <c r="Q126" i="2"/>
  <c r="P126" i="2"/>
  <c r="O126" i="2"/>
  <c r="L126" i="2"/>
  <c r="S125" i="2"/>
  <c r="R125" i="2"/>
  <c r="Q125" i="2"/>
  <c r="P125" i="2"/>
  <c r="O125" i="2"/>
  <c r="L125" i="2"/>
  <c r="S124" i="2"/>
  <c r="R124" i="2"/>
  <c r="Q124" i="2"/>
  <c r="P124" i="2"/>
  <c r="O124" i="2"/>
  <c r="L124" i="2"/>
  <c r="S123" i="2"/>
  <c r="R123" i="2"/>
  <c r="Q123" i="2"/>
  <c r="P123" i="2"/>
  <c r="O123" i="2"/>
  <c r="L123" i="2"/>
  <c r="S122" i="2"/>
  <c r="R122" i="2"/>
  <c r="Q122" i="2"/>
  <c r="P122" i="2"/>
  <c r="O122" i="2"/>
  <c r="L122" i="2"/>
  <c r="S121" i="2"/>
  <c r="R121" i="2"/>
  <c r="Q121" i="2"/>
  <c r="P121" i="2"/>
  <c r="O121" i="2"/>
  <c r="L121" i="2"/>
  <c r="S120" i="2"/>
  <c r="R120" i="2"/>
  <c r="Q120" i="2"/>
  <c r="P120" i="2"/>
  <c r="O120" i="2"/>
  <c r="L120" i="2"/>
  <c r="S119" i="2"/>
  <c r="R119" i="2"/>
  <c r="Q119" i="2"/>
  <c r="P119" i="2"/>
  <c r="O119" i="2"/>
  <c r="L119" i="2"/>
  <c r="S118" i="2"/>
  <c r="R118" i="2"/>
  <c r="Q118" i="2"/>
  <c r="P118" i="2"/>
  <c r="O118" i="2"/>
  <c r="L118" i="2"/>
  <c r="S117" i="2"/>
  <c r="R117" i="2"/>
  <c r="Q117" i="2"/>
  <c r="P117" i="2"/>
  <c r="O117" i="2"/>
  <c r="L117" i="2"/>
  <c r="S116" i="2"/>
  <c r="R116" i="2"/>
  <c r="Q116" i="2"/>
  <c r="P116" i="2"/>
  <c r="O116" i="2"/>
  <c r="L116" i="2"/>
  <c r="S115" i="2"/>
  <c r="R115" i="2"/>
  <c r="Q115" i="2"/>
  <c r="P115" i="2"/>
  <c r="O115" i="2"/>
  <c r="L115" i="2"/>
  <c r="S114" i="2"/>
  <c r="R114" i="2"/>
  <c r="Q114" i="2"/>
  <c r="P114" i="2"/>
  <c r="O114" i="2"/>
  <c r="L114" i="2"/>
  <c r="S113" i="2"/>
  <c r="R113" i="2"/>
  <c r="Q113" i="2"/>
  <c r="P113" i="2"/>
  <c r="O113" i="2"/>
  <c r="L113" i="2"/>
  <c r="S112" i="2"/>
  <c r="R112" i="2"/>
  <c r="Q112" i="2"/>
  <c r="P112" i="2"/>
  <c r="O112" i="2"/>
  <c r="L112" i="2"/>
  <c r="S111" i="2"/>
  <c r="R111" i="2"/>
  <c r="Q111" i="2"/>
  <c r="P111" i="2"/>
  <c r="O111" i="2"/>
  <c r="L111" i="2"/>
  <c r="S110" i="2"/>
  <c r="R110" i="2"/>
  <c r="Q110" i="2"/>
  <c r="P110" i="2"/>
  <c r="O110" i="2"/>
  <c r="L110" i="2"/>
  <c r="S109" i="2"/>
  <c r="R109" i="2"/>
  <c r="Q109" i="2"/>
  <c r="P109" i="2"/>
  <c r="O109" i="2"/>
  <c r="L109" i="2"/>
  <c r="S108" i="2"/>
  <c r="R108" i="2"/>
  <c r="Q108" i="2"/>
  <c r="P108" i="2"/>
  <c r="O108" i="2"/>
  <c r="L108" i="2"/>
  <c r="S107" i="2"/>
  <c r="R107" i="2"/>
  <c r="Q107" i="2"/>
  <c r="P107" i="2"/>
  <c r="O107" i="2"/>
  <c r="L107" i="2"/>
  <c r="S106" i="2"/>
  <c r="R106" i="2"/>
  <c r="Q106" i="2"/>
  <c r="P106" i="2"/>
  <c r="O106" i="2"/>
  <c r="L106" i="2"/>
  <c r="S105" i="2"/>
  <c r="R105" i="2"/>
  <c r="Q105" i="2"/>
  <c r="P105" i="2"/>
  <c r="O105" i="2"/>
  <c r="L105" i="2"/>
  <c r="S104" i="2"/>
  <c r="R104" i="2"/>
  <c r="Q104" i="2"/>
  <c r="P104" i="2"/>
  <c r="O104" i="2"/>
  <c r="L104" i="2"/>
  <c r="S103" i="2"/>
  <c r="R103" i="2"/>
  <c r="Q103" i="2"/>
  <c r="P103" i="2"/>
  <c r="O103" i="2"/>
  <c r="L103" i="2"/>
  <c r="S102" i="2"/>
  <c r="R102" i="2"/>
  <c r="Q102" i="2"/>
  <c r="P102" i="2"/>
  <c r="O102" i="2"/>
  <c r="L102" i="2"/>
  <c r="S101" i="2"/>
  <c r="R101" i="2"/>
  <c r="Q101" i="2"/>
  <c r="P101" i="2"/>
  <c r="O101" i="2"/>
  <c r="L101" i="2"/>
  <c r="S100" i="2"/>
  <c r="R100" i="2"/>
  <c r="Q100" i="2"/>
  <c r="P100" i="2"/>
  <c r="O100" i="2"/>
  <c r="L100" i="2"/>
  <c r="S99" i="2"/>
  <c r="R99" i="2"/>
  <c r="Q99" i="2"/>
  <c r="P99" i="2"/>
  <c r="O99" i="2"/>
  <c r="L99" i="2"/>
  <c r="S98" i="2"/>
  <c r="R98" i="2"/>
  <c r="Q98" i="2"/>
  <c r="P98" i="2"/>
  <c r="O98" i="2"/>
  <c r="L98" i="2"/>
  <c r="S97" i="2"/>
  <c r="R97" i="2"/>
  <c r="Q97" i="2"/>
  <c r="P97" i="2"/>
  <c r="O97" i="2"/>
  <c r="L97" i="2"/>
  <c r="S96" i="2"/>
  <c r="R96" i="2"/>
  <c r="Q96" i="2"/>
  <c r="P96" i="2"/>
  <c r="O96" i="2"/>
  <c r="L96" i="2"/>
  <c r="S95" i="2"/>
  <c r="R95" i="2"/>
  <c r="Q95" i="2"/>
  <c r="P95" i="2"/>
  <c r="O95" i="2"/>
  <c r="L95" i="2"/>
  <c r="S94" i="2"/>
  <c r="R94" i="2"/>
  <c r="Q94" i="2"/>
  <c r="P94" i="2"/>
  <c r="O94" i="2"/>
  <c r="L94" i="2"/>
  <c r="S93" i="2"/>
  <c r="R93" i="2"/>
  <c r="Q93" i="2"/>
  <c r="P93" i="2"/>
  <c r="O93" i="2"/>
  <c r="L93" i="2"/>
  <c r="S92" i="2"/>
  <c r="R92" i="2"/>
  <c r="Q92" i="2"/>
  <c r="P92" i="2"/>
  <c r="O92" i="2"/>
  <c r="L92" i="2"/>
  <c r="S91" i="2"/>
  <c r="R91" i="2"/>
  <c r="Q91" i="2"/>
  <c r="P91" i="2"/>
  <c r="O91" i="2"/>
  <c r="L91" i="2"/>
  <c r="S90" i="2"/>
  <c r="R90" i="2"/>
  <c r="Q90" i="2"/>
  <c r="P90" i="2"/>
  <c r="O90" i="2"/>
  <c r="L90" i="2"/>
  <c r="S89" i="2"/>
  <c r="R89" i="2"/>
  <c r="Q89" i="2"/>
  <c r="P89" i="2"/>
  <c r="O89" i="2"/>
  <c r="L89" i="2"/>
  <c r="S88" i="2"/>
  <c r="R88" i="2"/>
  <c r="Q88" i="2"/>
  <c r="P88" i="2"/>
  <c r="O88" i="2"/>
  <c r="L88" i="2"/>
  <c r="S87" i="2"/>
  <c r="R87" i="2"/>
  <c r="Q87" i="2"/>
  <c r="P87" i="2"/>
  <c r="O87" i="2"/>
  <c r="L87" i="2"/>
  <c r="S86" i="2"/>
  <c r="R86" i="2"/>
  <c r="Q86" i="2"/>
  <c r="P86" i="2"/>
  <c r="O86" i="2"/>
  <c r="L86" i="2"/>
  <c r="S85" i="2"/>
  <c r="R85" i="2"/>
  <c r="Q85" i="2"/>
  <c r="P85" i="2"/>
  <c r="O85" i="2"/>
  <c r="L85" i="2"/>
  <c r="S84" i="2"/>
  <c r="R84" i="2"/>
  <c r="Q84" i="2"/>
  <c r="P84" i="2"/>
  <c r="O84" i="2"/>
  <c r="L84" i="2"/>
  <c r="S83" i="2"/>
  <c r="R83" i="2"/>
  <c r="Q83" i="2"/>
  <c r="P83" i="2"/>
  <c r="O83" i="2"/>
  <c r="L83" i="2"/>
  <c r="S82" i="2"/>
  <c r="R82" i="2"/>
  <c r="Q82" i="2"/>
  <c r="P82" i="2"/>
  <c r="O82" i="2"/>
  <c r="L82" i="2"/>
  <c r="S81" i="2"/>
  <c r="R81" i="2"/>
  <c r="Q81" i="2"/>
  <c r="P81" i="2"/>
  <c r="O81" i="2"/>
  <c r="L81" i="2"/>
  <c r="S80" i="2"/>
  <c r="R80" i="2"/>
  <c r="Q80" i="2"/>
  <c r="P80" i="2"/>
  <c r="O80" i="2"/>
  <c r="L80" i="2"/>
  <c r="S79" i="2"/>
  <c r="R79" i="2"/>
  <c r="Q79" i="2"/>
  <c r="P79" i="2"/>
  <c r="O79" i="2"/>
  <c r="L79" i="2"/>
  <c r="S78" i="2"/>
  <c r="R78" i="2"/>
  <c r="Q78" i="2"/>
  <c r="P78" i="2"/>
  <c r="O78" i="2"/>
  <c r="L78" i="2"/>
  <c r="S77" i="2"/>
  <c r="R77" i="2"/>
  <c r="Q77" i="2"/>
  <c r="P77" i="2"/>
  <c r="O77" i="2"/>
  <c r="L77" i="2"/>
  <c r="S76" i="2"/>
  <c r="R76" i="2"/>
  <c r="Q76" i="2"/>
  <c r="P76" i="2"/>
  <c r="O76" i="2"/>
  <c r="L76" i="2"/>
  <c r="S75" i="2"/>
  <c r="R75" i="2"/>
  <c r="Q75" i="2"/>
  <c r="P75" i="2"/>
  <c r="O75" i="2"/>
  <c r="L75" i="2"/>
  <c r="S74" i="2"/>
  <c r="R74" i="2"/>
  <c r="Q74" i="2"/>
  <c r="P74" i="2"/>
  <c r="O74" i="2"/>
  <c r="L74" i="2"/>
  <c r="S73" i="2"/>
  <c r="R73" i="2"/>
  <c r="Q73" i="2"/>
  <c r="P73" i="2"/>
  <c r="O73" i="2"/>
  <c r="L73" i="2"/>
  <c r="S72" i="2"/>
  <c r="R72" i="2"/>
  <c r="Q72" i="2"/>
  <c r="P72" i="2"/>
  <c r="O72" i="2"/>
  <c r="L72" i="2"/>
  <c r="S71" i="2"/>
  <c r="R71" i="2"/>
  <c r="Q71" i="2"/>
  <c r="P71" i="2"/>
  <c r="O71" i="2"/>
  <c r="L71" i="2"/>
  <c r="S70" i="2"/>
  <c r="R70" i="2"/>
  <c r="Q70" i="2"/>
  <c r="P70" i="2"/>
  <c r="O70" i="2"/>
  <c r="L70" i="2"/>
  <c r="S69" i="2"/>
  <c r="R69" i="2"/>
  <c r="Q69" i="2"/>
  <c r="P69" i="2"/>
  <c r="O69" i="2"/>
  <c r="L69" i="2"/>
  <c r="S68" i="2"/>
  <c r="R68" i="2"/>
  <c r="Q68" i="2"/>
  <c r="P68" i="2"/>
  <c r="O68" i="2"/>
  <c r="L68" i="2"/>
  <c r="S67" i="2"/>
  <c r="R67" i="2"/>
  <c r="Q67" i="2"/>
  <c r="P67" i="2"/>
  <c r="O67" i="2"/>
  <c r="L67" i="2"/>
  <c r="S66" i="2"/>
  <c r="R66" i="2"/>
  <c r="Q66" i="2"/>
  <c r="P66" i="2"/>
  <c r="O66" i="2"/>
  <c r="L66" i="2"/>
  <c r="S65" i="2"/>
  <c r="R65" i="2"/>
  <c r="Q65" i="2"/>
  <c r="P65" i="2"/>
  <c r="O65" i="2"/>
  <c r="L65" i="2"/>
  <c r="S64" i="2"/>
  <c r="R64" i="2"/>
  <c r="Q64" i="2"/>
  <c r="P64" i="2"/>
  <c r="O64" i="2"/>
  <c r="L64" i="2"/>
  <c r="S63" i="2"/>
  <c r="R63" i="2"/>
  <c r="Q63" i="2"/>
  <c r="P63" i="2"/>
  <c r="O63" i="2"/>
  <c r="L63" i="2"/>
  <c r="S62" i="2"/>
  <c r="R62" i="2"/>
  <c r="Q62" i="2"/>
  <c r="P62" i="2"/>
  <c r="O62" i="2"/>
  <c r="L62" i="2"/>
  <c r="S61" i="2"/>
  <c r="R61" i="2"/>
  <c r="Q61" i="2"/>
  <c r="P61" i="2"/>
  <c r="O61" i="2"/>
  <c r="L61" i="2"/>
  <c r="S60" i="2"/>
  <c r="R60" i="2"/>
  <c r="Q60" i="2"/>
  <c r="P60" i="2"/>
  <c r="O60" i="2"/>
  <c r="L60" i="2"/>
  <c r="S59" i="2"/>
  <c r="R59" i="2"/>
  <c r="Q59" i="2"/>
  <c r="P59" i="2"/>
  <c r="O59" i="2"/>
  <c r="L59" i="2"/>
  <c r="S58" i="2"/>
  <c r="R58" i="2"/>
  <c r="Q58" i="2"/>
  <c r="P58" i="2"/>
  <c r="O58" i="2"/>
  <c r="L58" i="2"/>
  <c r="S57" i="2"/>
  <c r="R57" i="2"/>
  <c r="Q57" i="2"/>
  <c r="P57" i="2"/>
  <c r="O57" i="2"/>
  <c r="L57" i="2"/>
  <c r="S56" i="2"/>
  <c r="R56" i="2"/>
  <c r="Q56" i="2"/>
  <c r="P56" i="2"/>
  <c r="O56" i="2"/>
  <c r="L56" i="2"/>
  <c r="S55" i="2"/>
  <c r="R55" i="2"/>
  <c r="Q55" i="2"/>
  <c r="P55" i="2"/>
  <c r="O55" i="2"/>
  <c r="L55" i="2"/>
  <c r="S54" i="2"/>
  <c r="R54" i="2"/>
  <c r="Q54" i="2"/>
  <c r="P54" i="2"/>
  <c r="O54" i="2"/>
  <c r="L54" i="2"/>
  <c r="S53" i="2"/>
  <c r="R53" i="2"/>
  <c r="Q53" i="2"/>
  <c r="P53" i="2"/>
  <c r="O53" i="2"/>
  <c r="L53" i="2"/>
  <c r="S52" i="2"/>
  <c r="R52" i="2"/>
  <c r="Q52" i="2"/>
  <c r="P52" i="2"/>
  <c r="O52" i="2"/>
  <c r="L52" i="2"/>
  <c r="S51" i="2"/>
  <c r="R51" i="2"/>
  <c r="Q51" i="2"/>
  <c r="P51" i="2"/>
  <c r="O51" i="2"/>
  <c r="L51" i="2"/>
  <c r="S50" i="2"/>
  <c r="R50" i="2"/>
  <c r="Q50" i="2"/>
  <c r="P50" i="2"/>
  <c r="O50" i="2"/>
  <c r="L50" i="2"/>
  <c r="S49" i="2"/>
  <c r="R49" i="2"/>
  <c r="Q49" i="2"/>
  <c r="P49" i="2"/>
  <c r="O49" i="2"/>
  <c r="L49" i="2"/>
  <c r="S48" i="2"/>
  <c r="R48" i="2"/>
  <c r="Q48" i="2"/>
  <c r="P48" i="2"/>
  <c r="O48" i="2"/>
  <c r="L48" i="2"/>
  <c r="S47" i="2"/>
  <c r="R47" i="2"/>
  <c r="Q47" i="2"/>
  <c r="P47" i="2"/>
  <c r="O47" i="2"/>
  <c r="L47" i="2"/>
  <c r="S46" i="2"/>
  <c r="R46" i="2"/>
  <c r="Q46" i="2"/>
  <c r="P46" i="2"/>
  <c r="O46" i="2"/>
  <c r="L46" i="2"/>
  <c r="S45" i="2"/>
  <c r="R45" i="2"/>
  <c r="Q45" i="2"/>
  <c r="P45" i="2"/>
  <c r="O45" i="2"/>
  <c r="L45" i="2"/>
  <c r="S44" i="2"/>
  <c r="R44" i="2"/>
  <c r="Q44" i="2"/>
  <c r="P44" i="2"/>
  <c r="O44" i="2"/>
  <c r="L44" i="2"/>
  <c r="S43" i="2"/>
  <c r="R43" i="2"/>
  <c r="Q43" i="2"/>
  <c r="P43" i="2"/>
  <c r="O43" i="2"/>
  <c r="L43" i="2"/>
  <c r="S42" i="2"/>
  <c r="R42" i="2"/>
  <c r="Q42" i="2"/>
  <c r="P42" i="2"/>
  <c r="O42" i="2"/>
  <c r="L42" i="2"/>
  <c r="S41" i="2"/>
  <c r="R41" i="2"/>
  <c r="Q41" i="2"/>
  <c r="P41" i="2"/>
  <c r="O41" i="2"/>
  <c r="L41" i="2"/>
  <c r="S40" i="2"/>
  <c r="R40" i="2"/>
  <c r="Q40" i="2"/>
  <c r="P40" i="2"/>
  <c r="O40" i="2"/>
  <c r="L40" i="2"/>
  <c r="S39" i="2"/>
  <c r="R39" i="2"/>
  <c r="Q39" i="2"/>
  <c r="P39" i="2"/>
  <c r="O39" i="2"/>
  <c r="L39" i="2"/>
  <c r="S38" i="2"/>
  <c r="R38" i="2"/>
  <c r="Q38" i="2"/>
  <c r="P38" i="2"/>
  <c r="O38" i="2"/>
  <c r="L38" i="2"/>
  <c r="S37" i="2"/>
  <c r="R37" i="2"/>
  <c r="Q37" i="2"/>
  <c r="P37" i="2"/>
  <c r="O37" i="2"/>
  <c r="L37" i="2"/>
  <c r="S36" i="2"/>
  <c r="R36" i="2"/>
  <c r="Q36" i="2"/>
  <c r="P36" i="2"/>
  <c r="O36" i="2"/>
  <c r="L36" i="2"/>
  <c r="S35" i="2"/>
  <c r="R35" i="2"/>
  <c r="Q35" i="2"/>
  <c r="P35" i="2"/>
  <c r="O35" i="2"/>
  <c r="L35" i="2"/>
  <c r="S34" i="2"/>
  <c r="R34" i="2"/>
  <c r="Q34" i="2"/>
  <c r="P34" i="2"/>
  <c r="O34" i="2"/>
  <c r="L34" i="2"/>
  <c r="S33" i="2"/>
  <c r="R33" i="2"/>
  <c r="Q33" i="2"/>
  <c r="P33" i="2"/>
  <c r="O33" i="2"/>
  <c r="L33" i="2"/>
  <c r="S32" i="2"/>
  <c r="R32" i="2"/>
  <c r="Q32" i="2"/>
  <c r="P32" i="2"/>
  <c r="O32" i="2"/>
  <c r="L32" i="2"/>
  <c r="S31" i="2"/>
  <c r="R31" i="2"/>
  <c r="Q31" i="2"/>
  <c r="P31" i="2"/>
  <c r="O31" i="2"/>
  <c r="L31" i="2"/>
  <c r="S30" i="2"/>
  <c r="R30" i="2"/>
  <c r="Q30" i="2"/>
  <c r="P30" i="2"/>
  <c r="O30" i="2"/>
  <c r="L30" i="2"/>
  <c r="S29" i="2"/>
  <c r="R29" i="2"/>
  <c r="Q29" i="2"/>
  <c r="P29" i="2"/>
  <c r="O29" i="2"/>
  <c r="L29" i="2"/>
  <c r="S28" i="2"/>
  <c r="R28" i="2"/>
  <c r="Q28" i="2"/>
  <c r="P28" i="2"/>
  <c r="O28" i="2"/>
  <c r="L28" i="2"/>
  <c r="S27" i="2"/>
  <c r="R27" i="2"/>
  <c r="Q27" i="2"/>
  <c r="P27" i="2"/>
  <c r="O27" i="2"/>
  <c r="L27" i="2"/>
  <c r="S26" i="2"/>
  <c r="R26" i="2"/>
  <c r="Q26" i="2"/>
  <c r="P26" i="2"/>
  <c r="O26" i="2"/>
  <c r="L26" i="2"/>
  <c r="S25" i="2"/>
  <c r="R25" i="2"/>
  <c r="Q25" i="2"/>
  <c r="P25" i="2"/>
  <c r="O25" i="2"/>
  <c r="L25" i="2"/>
  <c r="S24" i="2"/>
  <c r="R24" i="2"/>
  <c r="Q24" i="2"/>
  <c r="P24" i="2"/>
  <c r="O24" i="2"/>
  <c r="L24" i="2"/>
  <c r="S23" i="2"/>
  <c r="R23" i="2"/>
  <c r="Q23" i="2"/>
  <c r="P23" i="2"/>
  <c r="O23" i="2"/>
  <c r="L23" i="2"/>
  <c r="S22" i="2"/>
  <c r="R22" i="2"/>
  <c r="Q22" i="2"/>
  <c r="P22" i="2"/>
  <c r="O22" i="2"/>
  <c r="L22" i="2"/>
  <c r="S21" i="2"/>
  <c r="R21" i="2"/>
  <c r="Q21" i="2"/>
  <c r="P21" i="2"/>
  <c r="O21" i="2"/>
  <c r="L21" i="2"/>
  <c r="S20" i="2"/>
  <c r="R20" i="2"/>
  <c r="Q20" i="2"/>
  <c r="P20" i="2"/>
  <c r="O20" i="2"/>
  <c r="L20" i="2"/>
  <c r="S19" i="2"/>
  <c r="R19" i="2"/>
  <c r="Q19" i="2"/>
  <c r="P19" i="2"/>
  <c r="O19" i="2"/>
  <c r="L19" i="2"/>
  <c r="S18" i="2"/>
  <c r="R18" i="2"/>
  <c r="Q18" i="2"/>
  <c r="P18" i="2"/>
  <c r="O18" i="2"/>
  <c r="L18" i="2"/>
  <c r="S17" i="2"/>
  <c r="R17" i="2"/>
  <c r="Q17" i="2"/>
  <c r="P17" i="2"/>
  <c r="O17" i="2"/>
  <c r="L17" i="2"/>
  <c r="S16" i="2"/>
  <c r="R16" i="2"/>
  <c r="Q16" i="2"/>
  <c r="P16" i="2"/>
  <c r="O16" i="2"/>
  <c r="L16" i="2"/>
  <c r="S15" i="2"/>
  <c r="R15" i="2"/>
  <c r="Q15" i="2"/>
  <c r="P15" i="2"/>
  <c r="O15" i="2"/>
  <c r="L15" i="2"/>
  <c r="S14" i="2"/>
  <c r="R14" i="2"/>
  <c r="Q14" i="2"/>
  <c r="P14" i="2"/>
  <c r="O14" i="2"/>
  <c r="L14" i="2"/>
  <c r="S13" i="2"/>
  <c r="R13" i="2"/>
  <c r="Q13" i="2"/>
  <c r="P13" i="2"/>
  <c r="O13" i="2"/>
  <c r="L13" i="2"/>
  <c r="S12" i="2"/>
  <c r="R12" i="2"/>
  <c r="Q12" i="2"/>
  <c r="P12" i="2"/>
  <c r="O12" i="2"/>
  <c r="L12" i="2"/>
  <c r="S11" i="2"/>
  <c r="R11" i="2"/>
  <c r="Q11" i="2"/>
  <c r="P11" i="2"/>
  <c r="O11" i="2"/>
  <c r="L11" i="2"/>
  <c r="S10" i="2"/>
  <c r="R10" i="2"/>
  <c r="Q10" i="2"/>
  <c r="P10" i="2"/>
  <c r="O10" i="2"/>
  <c r="L10" i="2"/>
  <c r="S9" i="2"/>
  <c r="R9" i="2"/>
  <c r="Q9" i="2"/>
  <c r="P9" i="2"/>
  <c r="O9" i="2"/>
  <c r="L9" i="2"/>
  <c r="S8" i="2"/>
  <c r="R8" i="2"/>
  <c r="Q8" i="2"/>
  <c r="P8" i="2"/>
  <c r="O8" i="2"/>
  <c r="L8" i="2"/>
  <c r="S7" i="2"/>
  <c r="R7" i="2"/>
  <c r="Q7" i="2"/>
  <c r="P7" i="2"/>
  <c r="O7" i="2"/>
  <c r="L7" i="2"/>
  <c r="S6" i="2"/>
  <c r="R6" i="2"/>
  <c r="Q6" i="2"/>
  <c r="P6" i="2"/>
  <c r="O6" i="2"/>
  <c r="L6" i="2"/>
  <c r="S5" i="2"/>
  <c r="R5" i="2"/>
  <c r="Q5" i="2"/>
  <c r="P5" i="2"/>
  <c r="O5" i="2"/>
  <c r="L5" i="2"/>
  <c r="S4" i="2"/>
  <c r="R4" i="2"/>
  <c r="Q4" i="2"/>
  <c r="P4" i="2"/>
  <c r="O4" i="2"/>
  <c r="L4" i="2"/>
  <c r="S3" i="2"/>
  <c r="R3" i="2"/>
  <c r="Q3" i="2"/>
  <c r="P3" i="2"/>
  <c r="O3" i="2"/>
  <c r="L3" i="2"/>
  <c r="S2" i="2"/>
  <c r="R2" i="2"/>
  <c r="Q2" i="2"/>
  <c r="P2" i="2"/>
  <c r="O2" i="2"/>
  <c r="L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67FF3-6058-4189-BDE4-C282E3188F14}" keepAlive="1" name="Query - Africa Car Sales" description="Connection to the 'Africa Car Sales' query in the workbook." type="5" refreshedVersion="8" background="1" saveData="1">
    <dbPr connection="Provider=Microsoft.Mashup.OleDb.1;Data Source=$Workbook$;Location=&quot;Africa Car Sales&quot;;Extended Properties=&quot;&quot;" command="SELECT * FROM [Africa Car Sales]"/>
  </connection>
  <connection id="2" xr16:uid="{F1A65179-CC3A-4E54-890E-3ABC3B1AA45B}" keepAlive="1" name="Query - New Country" description="Connection to the 'New Country' query in the workbook." type="5" refreshedVersion="8" background="1" saveData="1">
    <dbPr connection="Provider=Microsoft.Mashup.OleDb.1;Data Source=$Workbook$;Location=&quot;New Country&quot;;Extended Properties=&quot;&quot;" command="SELECT * FROM [New Country]"/>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<sst xmlns="http://schemas.openxmlformats.org/spreadsheetml/2006/main" count="1357" uniqueCount="493">
  <si>
    <t>Transaction ID</t>
  </si>
  <si>
    <t>Sale Date</t>
  </si>
  <si>
    <t>Full Name</t>
  </si>
  <si>
    <t>Car Make</t>
  </si>
  <si>
    <t>Car Model</t>
  </si>
  <si>
    <t>Car Year</t>
  </si>
  <si>
    <t>Car Type</t>
  </si>
  <si>
    <t>Country</t>
  </si>
  <si>
    <t>City</t>
  </si>
  <si>
    <t>Units Sold</t>
  </si>
  <si>
    <t>Cost Price ($)</t>
  </si>
  <si>
    <t>Sale Price ($)</t>
  </si>
  <si>
    <t>Market Value ($)</t>
  </si>
  <si>
    <t>Image Url</t>
  </si>
  <si>
    <t>TXN-1001</t>
  </si>
  <si>
    <t>04/11/2024</t>
  </si>
  <si>
    <t>Kehinde Mensah</t>
  </si>
  <si>
    <t>Mercedes</t>
  </si>
  <si>
    <t>Sprinter</t>
  </si>
  <si>
    <t>Van</t>
  </si>
  <si>
    <t>Tanzania</t>
  </si>
  <si>
    <t>Dar es Salaam</t>
  </si>
  <si>
    <t>https://i.ibb.co/Q7ybDRfL/9446ae15f3a246e364b7c15811d12476-removebg-preview.png</t>
  </si>
  <si>
    <t>TXN-1002</t>
  </si>
  <si>
    <t>07-12-2024</t>
  </si>
  <si>
    <t>Amina Acheampong</t>
  </si>
  <si>
    <t>GLC</t>
  </si>
  <si>
    <t>SUV</t>
  </si>
  <si>
    <t>Nigeria</t>
  </si>
  <si>
    <t>Lagos</t>
  </si>
  <si>
    <t>https://i.ibb.co/VYQrTB1m/images-13-removebg-preview.png</t>
  </si>
  <si>
    <t>TXN-1003</t>
  </si>
  <si>
    <t>06-14-2022</t>
  </si>
  <si>
    <t>Yemi Diallo</t>
  </si>
  <si>
    <t>C200</t>
  </si>
  <si>
    <t>Sedan</t>
  </si>
  <si>
    <t>Egypt</t>
  </si>
  <si>
    <t>Alexandria</t>
  </si>
  <si>
    <t>https://i.ibb.co/jPH5PFzp/l74920220426094748-removebg-preview.png</t>
  </si>
  <si>
    <t>TXN-1004</t>
  </si>
  <si>
    <t>09/01/2023</t>
  </si>
  <si>
    <t>Adaeze Kamau</t>
  </si>
  <si>
    <t>E350</t>
  </si>
  <si>
    <t>https://i.ibb.co/ZpxtR2fy/2025-mercedes-benz-e-class-e-350-4matic-sedan-angular-front-exterior-view-100958645-l-removebg-previ.png</t>
  </si>
  <si>
    <t>TXN-1005</t>
  </si>
  <si>
    <t>07/12/2020</t>
  </si>
  <si>
    <t>Amina Nwosu</t>
  </si>
  <si>
    <t>Toyota</t>
  </si>
  <si>
    <t>LandCruiser</t>
  </si>
  <si>
    <t>https://i.ibb.co/gF7TBV3f/images-15-removebg-preview.png</t>
  </si>
  <si>
    <t>TXN-1006</t>
  </si>
  <si>
    <t>2021/06/12</t>
  </si>
  <si>
    <t>Kwame Agyei</t>
  </si>
  <si>
    <t>S500</t>
  </si>
  <si>
    <t>Abuja</t>
  </si>
  <si>
    <t>https://i.ibb.co/1f2ZbR0x/66866424995883-69879159-removebg-preview.png</t>
  </si>
  <si>
    <t>TXN-1007</t>
  </si>
  <si>
    <t>12-21-2024</t>
  </si>
  <si>
    <t>Wale Mensah</t>
  </si>
  <si>
    <t>TXN-1008</t>
  </si>
  <si>
    <t>23-06-2021</t>
  </si>
  <si>
    <t>Olumide Appiah</t>
  </si>
  <si>
    <t>Ghana</t>
  </si>
  <si>
    <t>Accra</t>
  </si>
  <si>
    <t>TXN-1009</t>
  </si>
  <si>
    <t>24-10-2023</t>
  </si>
  <si>
    <t>Chisom Adeyemi</t>
  </si>
  <si>
    <t>South Africa</t>
  </si>
  <si>
    <t>Johannesburg</t>
  </si>
  <si>
    <t>TXN-1010</t>
  </si>
  <si>
    <t>21/03/2023</t>
  </si>
  <si>
    <t>Adaeze Muller</t>
  </si>
  <si>
    <t>Tamale</t>
  </si>
  <si>
    <t>TXN-1011</t>
  </si>
  <si>
    <t>2024/02/24</t>
  </si>
  <si>
    <t>Nkechi Dlamini</t>
  </si>
  <si>
    <t>Camry</t>
  </si>
  <si>
    <t>https://i.ibb.co/jP4HPbyV/images-14-removebg-preview.png</t>
  </si>
  <si>
    <t>TXN-1012</t>
  </si>
  <si>
    <t>25/03/2024</t>
  </si>
  <si>
    <t>Dayo Appiah</t>
  </si>
  <si>
    <t>GLS</t>
  </si>
  <si>
    <t>Kenya</t>
  </si>
  <si>
    <t>Mombasa</t>
  </si>
  <si>
    <t>https://i.ibb.co/Qv7s3XZY/2023-mercedes-benz-gls-class-maybach-gls-600-4matic-suv-angular-front-exterior-view-100919852-m-remo.png</t>
  </si>
  <si>
    <t>TXN-1013</t>
  </si>
  <si>
    <t>2024/01/17</t>
  </si>
  <si>
    <t>Folake Okafor</t>
  </si>
  <si>
    <t>A180</t>
  </si>
  <si>
    <t>Giza</t>
  </si>
  <si>
    <t>https://i.ibb.co/JRMBh5vH/images-10-removebg-preview.png</t>
  </si>
  <si>
    <t>TXN-1014</t>
  </si>
  <si>
    <t>03/12/2023</t>
  </si>
  <si>
    <t>Tunde Hassan</t>
  </si>
  <si>
    <t>Port Harcourt</t>
  </si>
  <si>
    <t>TXN-1015</t>
  </si>
  <si>
    <t>2021/09/07</t>
  </si>
  <si>
    <t>Olumide Quartey</t>
  </si>
  <si>
    <t>GLE</t>
  </si>
  <si>
    <t>Arusha</t>
  </si>
  <si>
    <t>https://i.ibb.co/5gFdbgGX/images-12-removebg-preview.png</t>
  </si>
  <si>
    <t>TXN-1016</t>
  </si>
  <si>
    <t>06-03-2020</t>
  </si>
  <si>
    <t>Amina Okafor</t>
  </si>
  <si>
    <t>TXN-1017</t>
  </si>
  <si>
    <t>17-04-2022</t>
  </si>
  <si>
    <t>Yemi Banda</t>
  </si>
  <si>
    <t>TXN-1018</t>
  </si>
  <si>
    <t>2023/02/04</t>
  </si>
  <si>
    <t>Kehinde Boateng</t>
  </si>
  <si>
    <t>TXN-1019</t>
  </si>
  <si>
    <t>13/12/2022</t>
  </si>
  <si>
    <t>Hassan Owusu</t>
  </si>
  <si>
    <t>Honda</t>
  </si>
  <si>
    <t>Accord</t>
  </si>
  <si>
    <t>Durban</t>
  </si>
  <si>
    <t>https://i.ibb.co/jP31Crpy/images-16-removebg-preview.png</t>
  </si>
  <si>
    <t>TXN-1020</t>
  </si>
  <si>
    <t>08/02/2023</t>
  </si>
  <si>
    <t>Fatima Appiah</t>
  </si>
  <si>
    <t>TXN-1021</t>
  </si>
  <si>
    <t>07-07-2020</t>
  </si>
  <si>
    <t>Adaeze Okafor</t>
  </si>
  <si>
    <t>Cairo</t>
  </si>
  <si>
    <t>TXN-1022</t>
  </si>
  <si>
    <t>08-23-2021</t>
  </si>
  <si>
    <t>Sola Owusu</t>
  </si>
  <si>
    <t>Cape Town</t>
  </si>
  <si>
    <t>TXN-1023</t>
  </si>
  <si>
    <t>28/09/2021</t>
  </si>
  <si>
    <t>Rotimi Kamau</t>
  </si>
  <si>
    <t>TXN-1024</t>
  </si>
  <si>
    <t>19/04/2024</t>
  </si>
  <si>
    <t>Abena Boateng</t>
  </si>
  <si>
    <t>TXN-1025</t>
  </si>
  <si>
    <t>2021/06/23</t>
  </si>
  <si>
    <t>Olumide Hassan</t>
  </si>
  <si>
    <t>Dodoma</t>
  </si>
  <si>
    <t>TXN-1026</t>
  </si>
  <si>
    <t>15/10/2024</t>
  </si>
  <si>
    <t>Kwame Banda</t>
  </si>
  <si>
    <t>TXN-1027</t>
  </si>
  <si>
    <t>12-05-2021</t>
  </si>
  <si>
    <t>Dayo Agyei</t>
  </si>
  <si>
    <t>TXN-1028</t>
  </si>
  <si>
    <t>02-09-2020</t>
  </si>
  <si>
    <t>Aisha Nwosu</t>
  </si>
  <si>
    <t>TXN-1029</t>
  </si>
  <si>
    <t>16/05/2020</t>
  </si>
  <si>
    <t>Kehinde Okonkwo</t>
  </si>
  <si>
    <t>TXN-1030</t>
  </si>
  <si>
    <t>24-08-2024</t>
  </si>
  <si>
    <t>Emeka Dlamini</t>
  </si>
  <si>
    <t>TXN-1031</t>
  </si>
  <si>
    <t>05/07/2021</t>
  </si>
  <si>
    <t>Dayo Traore</t>
  </si>
  <si>
    <t>TXN-1032</t>
  </si>
  <si>
    <t>09-25-2023</t>
  </si>
  <si>
    <t>Hassan Asante</t>
  </si>
  <si>
    <t>TXN-1033</t>
  </si>
  <si>
    <t>2021/11/14</t>
  </si>
  <si>
    <t>Seun Sarpong</t>
  </si>
  <si>
    <t>Kumasi</t>
  </si>
  <si>
    <t>TXN-1034</t>
  </si>
  <si>
    <t>10/04/2021</t>
  </si>
  <si>
    <t>Femi Muller</t>
  </si>
  <si>
    <t>Kano</t>
  </si>
  <si>
    <t>TXN-1035</t>
  </si>
  <si>
    <t>22/09/2022</t>
  </si>
  <si>
    <t>Ngozi Okonkwo</t>
  </si>
  <si>
    <t>TXN-1036</t>
  </si>
  <si>
    <t>24/06/2023</t>
  </si>
  <si>
    <t>Adaeze Osei</t>
  </si>
  <si>
    <t>TXN-1037</t>
  </si>
  <si>
    <t>2021/11/18</t>
  </si>
  <si>
    <t>Kehinde Kamau</t>
  </si>
  <si>
    <t>CR-V</t>
  </si>
  <si>
    <t>https://i.ibb.co/hRb9F2x9/carshot-CR-V-front-CR-VHYBAWDSPORTL-2026-Radiant-Red-Metallic-RS6-H8-TJFW-R-569-M-1.png</t>
  </si>
  <si>
    <t>TXN-1038</t>
  </si>
  <si>
    <t>2023/11/10</t>
  </si>
  <si>
    <t>Olumide Sarpong</t>
  </si>
  <si>
    <t>TXN-1039</t>
  </si>
  <si>
    <t>2024/03/24</t>
  </si>
  <si>
    <t>Olumide Banda</t>
  </si>
  <si>
    <t>Kisumu</t>
  </si>
  <si>
    <t>TXN-1040</t>
  </si>
  <si>
    <t>21-06-2023</t>
  </si>
  <si>
    <t>Adeola Quartey</t>
  </si>
  <si>
    <t>TXN-1041</t>
  </si>
  <si>
    <t>2024/11/17</t>
  </si>
  <si>
    <t>Abena Adeyemi</t>
  </si>
  <si>
    <t>CRV</t>
  </si>
  <si>
    <t>TXN-1042</t>
  </si>
  <si>
    <t>16-10-2020</t>
  </si>
  <si>
    <t>Taiwo Appiah</t>
  </si>
  <si>
    <t>TXN-1043</t>
  </si>
  <si>
    <t>21/12/2020</t>
  </si>
  <si>
    <t>Kehinde Adeyemi</t>
  </si>
  <si>
    <t>TXN-1044</t>
  </si>
  <si>
    <t>2024/08/05</t>
  </si>
  <si>
    <t>Adeola Agyei</t>
  </si>
  <si>
    <t>TXN-1045</t>
  </si>
  <si>
    <t>2023/08/28</t>
  </si>
  <si>
    <t>Hassan Appiah</t>
  </si>
  <si>
    <t>TXN-1046</t>
  </si>
  <si>
    <t>2021/05/23</t>
  </si>
  <si>
    <t>Nkechi Diallo</t>
  </si>
  <si>
    <t>TXN-1047</t>
  </si>
  <si>
    <t>07-02-2023</t>
  </si>
  <si>
    <t>Nkechi Banda</t>
  </si>
  <si>
    <t>TXN-1048</t>
  </si>
  <si>
    <t>01-10-2023</t>
  </si>
  <si>
    <t>Emeka Traore</t>
  </si>
  <si>
    <t>TXN-1049</t>
  </si>
  <si>
    <t>04-20-2023</t>
  </si>
  <si>
    <t>Aisha Boateng</t>
  </si>
  <si>
    <t>TXN-1050</t>
  </si>
  <si>
    <t>06/08/2021</t>
  </si>
  <si>
    <t>Olumide Osei</t>
  </si>
  <si>
    <t>TXN-1051</t>
  </si>
  <si>
    <t>2023/05/02</t>
  </si>
  <si>
    <t>Yemi Acheampong</t>
  </si>
  <si>
    <t>TXN-1052</t>
  </si>
  <si>
    <t>27/02/2023</t>
  </si>
  <si>
    <t>Fatima Traore</t>
  </si>
  <si>
    <t>TXN-1053</t>
  </si>
  <si>
    <t>01-07-2024</t>
  </si>
  <si>
    <t>Hassan Hassan</t>
  </si>
  <si>
    <t>TXN-1054</t>
  </si>
  <si>
    <t>12/03/2024</t>
  </si>
  <si>
    <t>Seun Nwosu</t>
  </si>
  <si>
    <t>TXN-1055</t>
  </si>
  <si>
    <t>04-23-2020</t>
  </si>
  <si>
    <t>Kofi Sarpong</t>
  </si>
  <si>
    <t>TXN-1056</t>
  </si>
  <si>
    <t>14/11/2022</t>
  </si>
  <si>
    <t>Rotimi Appiah</t>
  </si>
  <si>
    <t>TXN-1057</t>
  </si>
  <si>
    <t>27-08-2021</t>
  </si>
  <si>
    <t>Kemi Frimpong</t>
  </si>
  <si>
    <t>Nairobi</t>
  </si>
  <si>
    <t>TXN-1058</t>
  </si>
  <si>
    <t>2024/12/27</t>
  </si>
  <si>
    <t>Wale Adeyemi</t>
  </si>
  <si>
    <t>TXN-1059</t>
  </si>
  <si>
    <t>22/07/2022</t>
  </si>
  <si>
    <t>Folake Diallo</t>
  </si>
  <si>
    <t>TXN-1060</t>
  </si>
  <si>
    <t>20/12/2022</t>
  </si>
  <si>
    <t>Femi Kamau</t>
  </si>
  <si>
    <t>TXN-1061</t>
  </si>
  <si>
    <t>16-11-2023</t>
  </si>
  <si>
    <t>Chidi Kamau</t>
  </si>
  <si>
    <t>TXN-1062</t>
  </si>
  <si>
    <t>2024/09/16</t>
  </si>
  <si>
    <t>Kehinde Frimpong</t>
  </si>
  <si>
    <t>TXN-1063</t>
  </si>
  <si>
    <t>2021/12/04</t>
  </si>
  <si>
    <t>Ngozi Frimpong</t>
  </si>
  <si>
    <t>TXN-1064</t>
  </si>
  <si>
    <t>2024/09/19</t>
  </si>
  <si>
    <t>Kofi Owusu</t>
  </si>
  <si>
    <t>TXN-1065</t>
  </si>
  <si>
    <t>2020/01/09</t>
  </si>
  <si>
    <t>Tunde Appiah</t>
  </si>
  <si>
    <t>TXN-1066</t>
  </si>
  <si>
    <t>2020/03/11</t>
  </si>
  <si>
    <t>Jumoke Dlamini</t>
  </si>
  <si>
    <t>TXN-1067</t>
  </si>
  <si>
    <t>05/10/2022</t>
  </si>
  <si>
    <t>Hassan Dlamini</t>
  </si>
  <si>
    <t>TXN-1068</t>
  </si>
  <si>
    <t>15-08-2022</t>
  </si>
  <si>
    <t>Dayo Osei</t>
  </si>
  <si>
    <t>TXN-1069</t>
  </si>
  <si>
    <t>05-07-2020</t>
  </si>
  <si>
    <t>TXN-1070</t>
  </si>
  <si>
    <t>2021/01/10</t>
  </si>
  <si>
    <t>Sola Sarpong</t>
  </si>
  <si>
    <t>TXN-1071</t>
  </si>
  <si>
    <t>26/04/2023</t>
  </si>
  <si>
    <t>Amina Appiah</t>
  </si>
  <si>
    <t>TXN-1072</t>
  </si>
  <si>
    <t>24-10-2022</t>
  </si>
  <si>
    <t>Ngozi Acheampong</t>
  </si>
  <si>
    <t>TXN-1073</t>
  </si>
  <si>
    <t>03-10-2020</t>
  </si>
  <si>
    <t>Wale Agyei</t>
  </si>
  <si>
    <t>TXN-1074</t>
  </si>
  <si>
    <t>01/11/2022</t>
  </si>
  <si>
    <t>Kemi Mwangi</t>
  </si>
  <si>
    <t>TXN-1075</t>
  </si>
  <si>
    <t>21-08-2020</t>
  </si>
  <si>
    <t>Obiora Boateng</t>
  </si>
  <si>
    <t>TXN-1076</t>
  </si>
  <si>
    <t>22/07/2024</t>
  </si>
  <si>
    <t>Bukola Kamau</t>
  </si>
  <si>
    <t>TXN-1077</t>
  </si>
  <si>
    <t>17-01-2024</t>
  </si>
  <si>
    <t>Taiwo Mensah</t>
  </si>
  <si>
    <t>TXN-1078</t>
  </si>
  <si>
    <t>04-02-2022</t>
  </si>
  <si>
    <t>Sola Acheampong</t>
  </si>
  <si>
    <t>TXN-1079</t>
  </si>
  <si>
    <t>06/05/2024</t>
  </si>
  <si>
    <t>Taiwo Kamau</t>
  </si>
  <si>
    <t>TXN-1080</t>
  </si>
  <si>
    <t>2024/05/23</t>
  </si>
  <si>
    <t>Taiwo Mwangi</t>
  </si>
  <si>
    <t>TXN-1081</t>
  </si>
  <si>
    <t>2020/03/24</t>
  </si>
  <si>
    <t>Taiwo Diallo</t>
  </si>
  <si>
    <t>TXN-1082</t>
  </si>
  <si>
    <t>22-08-2021</t>
  </si>
  <si>
    <t>Jumoke Traore</t>
  </si>
  <si>
    <t>TXN-1083</t>
  </si>
  <si>
    <t>10-08-2023</t>
  </si>
  <si>
    <t>TXN-1084</t>
  </si>
  <si>
    <t>22-11-2021</t>
  </si>
  <si>
    <t>Amara Hassan</t>
  </si>
  <si>
    <t>TXN-1085</t>
  </si>
  <si>
    <t>08-17-2020</t>
  </si>
  <si>
    <t>TXN-1086</t>
  </si>
  <si>
    <t>03-06-2024</t>
  </si>
  <si>
    <t>Wale Appiah</t>
  </si>
  <si>
    <t>TXN-1087</t>
  </si>
  <si>
    <t>22/05/2021</t>
  </si>
  <si>
    <t>Kehinde Dlamini</t>
  </si>
  <si>
    <t>TXN-1088</t>
  </si>
  <si>
    <t>2020/06/02</t>
  </si>
  <si>
    <t>Obiora Traore</t>
  </si>
  <si>
    <t>TXN-1089</t>
  </si>
  <si>
    <t>06-02-2024</t>
  </si>
  <si>
    <t>Hassan Mwangi</t>
  </si>
  <si>
    <t>TXN-1090</t>
  </si>
  <si>
    <t>08-01-2022</t>
  </si>
  <si>
    <t>Kwame Acheampong</t>
  </si>
  <si>
    <t>TXN-1091</t>
  </si>
  <si>
    <t>28-05-2021</t>
  </si>
  <si>
    <t>TXN-1092</t>
  </si>
  <si>
    <t>2023/11/27</t>
  </si>
  <si>
    <t>Emeka Osei</t>
  </si>
  <si>
    <t>TXN-1093</t>
  </si>
  <si>
    <t>2024/04/26</t>
  </si>
  <si>
    <t>TXN-1094</t>
  </si>
  <si>
    <t>2020/11/04</t>
  </si>
  <si>
    <t>Adeola Mensah</t>
  </si>
  <si>
    <t>TXN-1095</t>
  </si>
  <si>
    <t>03-14-2021</t>
  </si>
  <si>
    <t>Chisom Nkosi</t>
  </si>
  <si>
    <t>TXN-1096</t>
  </si>
  <si>
    <t>10/12/2022</t>
  </si>
  <si>
    <t>TXN-1097</t>
  </si>
  <si>
    <t>09-09-2020</t>
  </si>
  <si>
    <t>Chisom Quartey</t>
  </si>
  <si>
    <t>TXN-1098</t>
  </si>
  <si>
    <t>22/04/2023</t>
  </si>
  <si>
    <t>TXN-1099</t>
  </si>
  <si>
    <t>14/02/2021</t>
  </si>
  <si>
    <t>Amara Nwosu</t>
  </si>
  <si>
    <t>TXN-1100</t>
  </si>
  <si>
    <t>22-12-2024</t>
  </si>
  <si>
    <t>Bisi Boateng</t>
  </si>
  <si>
    <t>TXN-1101</t>
  </si>
  <si>
    <t>Adeola Adeyemi</t>
  </si>
  <si>
    <t>TXN-1102</t>
  </si>
  <si>
    <t>13/05/2021</t>
  </si>
  <si>
    <t>TXN-1103</t>
  </si>
  <si>
    <t>04-11-2021</t>
  </si>
  <si>
    <t>TXN-1104</t>
  </si>
  <si>
    <t>01-20-2022</t>
  </si>
  <si>
    <t>Tunde Banda</t>
  </si>
  <si>
    <t>TXN-1105</t>
  </si>
  <si>
    <t>2024/04/12</t>
  </si>
  <si>
    <t>Chidi Asante</t>
  </si>
  <si>
    <t>TXN-1106</t>
  </si>
  <si>
    <t>2023/08/03</t>
  </si>
  <si>
    <t>Rotimi Osei</t>
  </si>
  <si>
    <t>TXN-1107</t>
  </si>
  <si>
    <t>2024/11/26</t>
  </si>
  <si>
    <t>Bukola Appiah</t>
  </si>
  <si>
    <t>TXN-1108</t>
  </si>
  <si>
    <t>23/08/2020</t>
  </si>
  <si>
    <t>TXN-1109</t>
  </si>
  <si>
    <t>2023/06/23</t>
  </si>
  <si>
    <t>Bukola Nkosi</t>
  </si>
  <si>
    <t>TXN-1110</t>
  </si>
  <si>
    <t>28-04-2023</t>
  </si>
  <si>
    <t>Amina Boateng</t>
  </si>
  <si>
    <t>TXN-1111</t>
  </si>
  <si>
    <t>2022/11/11</t>
  </si>
  <si>
    <t>Bisi Quartey</t>
  </si>
  <si>
    <t>TXN-1112</t>
  </si>
  <si>
    <t>24/06/2021</t>
  </si>
  <si>
    <t>Nkechi Quartey</t>
  </si>
  <si>
    <t>TXN-1113</t>
  </si>
  <si>
    <t>2022/01/24</t>
  </si>
  <si>
    <t>Obiora Dlamini</t>
  </si>
  <si>
    <t>TXN-1114</t>
  </si>
  <si>
    <t>28/09/2022</t>
  </si>
  <si>
    <t>Aisha Osei</t>
  </si>
  <si>
    <t>TXN-1115</t>
  </si>
  <si>
    <t>2022/05/06</t>
  </si>
  <si>
    <t>Obiora Okafor</t>
  </si>
  <si>
    <t>TXN-1116</t>
  </si>
  <si>
    <t>24-09-2021</t>
  </si>
  <si>
    <t>Taiwo Acheampong</t>
  </si>
  <si>
    <t>TXN-1117</t>
  </si>
  <si>
    <t>01-03-2021</t>
  </si>
  <si>
    <t>Fatima Quartey</t>
  </si>
  <si>
    <t>TXN-1118</t>
  </si>
  <si>
    <t>14/05/2021</t>
  </si>
  <si>
    <t>TXN-1119</t>
  </si>
  <si>
    <t>08/07/2024</t>
  </si>
  <si>
    <t>Emeka Owusu</t>
  </si>
  <si>
    <t>TXN-1120</t>
  </si>
  <si>
    <t>12-16-2023</t>
  </si>
  <si>
    <t>Tunde Muller</t>
  </si>
  <si>
    <t>TXN-1121</t>
  </si>
  <si>
    <t>13-12-2020</t>
  </si>
  <si>
    <t>Chidi Acheampong</t>
  </si>
  <si>
    <t>TXN-1122</t>
  </si>
  <si>
    <t>2020/07/04</t>
  </si>
  <si>
    <t>Seun Agyei</t>
  </si>
  <si>
    <t>TXN-1123</t>
  </si>
  <si>
    <t>14/10/2023</t>
  </si>
  <si>
    <t>Olumide Nwosu</t>
  </si>
  <si>
    <t>TXN-1124</t>
  </si>
  <si>
    <t>2022/04/17</t>
  </si>
  <si>
    <t>Bisi Adeyemi</t>
  </si>
  <si>
    <t>TXN-1125</t>
  </si>
  <si>
    <t>11-25-2020</t>
  </si>
  <si>
    <t>Folake Acheampong</t>
  </si>
  <si>
    <t>TXN-1126</t>
  </si>
  <si>
    <t>11-28-2022</t>
  </si>
  <si>
    <t>Adeola Kamau</t>
  </si>
  <si>
    <t>TXN-1127</t>
  </si>
  <si>
    <t>03-05-2023</t>
  </si>
  <si>
    <t>Amara Mensah</t>
  </si>
  <si>
    <t>TXN-1128</t>
  </si>
  <si>
    <t>20-09-2023</t>
  </si>
  <si>
    <t>Amara Acheampong</t>
  </si>
  <si>
    <t>TXN-1129</t>
  </si>
  <si>
    <t>15/02/2022</t>
  </si>
  <si>
    <t>TXN-1130</t>
  </si>
  <si>
    <t>2021/10/17</t>
  </si>
  <si>
    <t>Chisom Nwosu</t>
  </si>
  <si>
    <t>TXN-1131</t>
  </si>
  <si>
    <t>11-02-2024</t>
  </si>
  <si>
    <t>Sola Okonkwo</t>
  </si>
  <si>
    <t>TXN-1132</t>
  </si>
  <si>
    <t>2021/11/19</t>
  </si>
  <si>
    <t>TXN-1133</t>
  </si>
  <si>
    <t>07-18-2022</t>
  </si>
  <si>
    <t>Abena Appiah</t>
  </si>
  <si>
    <t>TXN-1134</t>
  </si>
  <si>
    <t>08-11-2021</t>
  </si>
  <si>
    <t>TXN-1135</t>
  </si>
  <si>
    <t>06-22-2024</t>
  </si>
  <si>
    <t>Adaeze Hassan</t>
  </si>
  <si>
    <t>TXN-1136</t>
  </si>
  <si>
    <t>22-12-2021</t>
  </si>
  <si>
    <t>Sola Frimpong</t>
  </si>
  <si>
    <t>TXN-1137</t>
  </si>
  <si>
    <t>07-06-2024</t>
  </si>
  <si>
    <t>Bukola Nwosu</t>
  </si>
  <si>
    <t>TXN-1138</t>
  </si>
  <si>
    <t>28-05-2020</t>
  </si>
  <si>
    <t>Chisom Banda</t>
  </si>
  <si>
    <t>TXN-1139</t>
  </si>
  <si>
    <t>17/03/2023</t>
  </si>
  <si>
    <t>TXN-1140</t>
  </si>
  <si>
    <t>02-13-2022</t>
  </si>
  <si>
    <t>Chidi Diallo</t>
  </si>
  <si>
    <t>Column1</t>
  </si>
  <si>
    <t>Profit Margin(%)</t>
  </si>
  <si>
    <t>Revenue($)</t>
  </si>
  <si>
    <t>Total Profit ($)</t>
  </si>
  <si>
    <t>Total Cost Price ($)</t>
  </si>
  <si>
    <t>Sum of Revenue($)</t>
  </si>
  <si>
    <t>Grand Total</t>
  </si>
  <si>
    <t>Total Revenue($)</t>
  </si>
  <si>
    <t xml:space="preserve"> Total Profit ($)</t>
  </si>
  <si>
    <t>Sum of Units Sold</t>
  </si>
  <si>
    <t>Total Transaction</t>
  </si>
  <si>
    <t>Total Car Sold</t>
  </si>
  <si>
    <t>Variance</t>
  </si>
  <si>
    <t>Percentage Variance (%)</t>
  </si>
  <si>
    <t>Average Variance (%)</t>
  </si>
  <si>
    <t>Top 5 Car Model</t>
  </si>
  <si>
    <t>Year</t>
  </si>
  <si>
    <t>Average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</si>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</sst>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yyyy"/>
    <numFmt numFmtId="165" formatCode="_(&quot;$&quot;* #,##0_);_(&quot;$&quot;* \(#,##0\);_(&quot;$&quot;* &quot;-&quot;??_);_(@_)"/>
    <numFmt numFmtId="166" formatCode="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164" fontId="0" fillId="0" borderId="0" xfId="0" applyNumberFormat="1"/>
    <xf numFmtId="165" fontId="0" fillId="0" borderId="0" xfId="1" applyNumberFormat="1" applyFont="1"/>
    <xf numFmtId="9" fontId="0" fillId="0" borderId="0" xfId="2" applyFont="1"/>
    <xf numFmtId="0" fontId="0" fillId="0" borderId="0" xfId="2" applyNumberFormat="1" applyFont="1"/>
    <xf numFmtId="166" fontId="0" fillId="0" borderId="0" xfId="2" applyNumberFormat="1" applyFont="1"/>
    <xf numFmtId="0" fontId="0" fillId="0" borderId="0" xfId="0" pivotButton="1"/>
    <xf numFmtId="165" fontId="0" fillId="0" borderId="0" xfId="0" applyNumberFormat="1"/>
    <xf numFmtId="0" fontId="0" fillId="0" borderId="0" xfId="0" applyAlignment="1">
      <alignment horizontal="left"/>
    </xf>
    <xf numFmtId="9" fontId="0" fillId="0" borderId="0" xfId="0" applyNumberFormat="1"/>
    <xf numFmtId="165" fontId="0" fillId="0" borderId="0" xfId="2" applyNumberFormat="1" applyFont="1"/>
    <xf numFmtId="166" fontId="0" fillId="0" borderId="0" xfId="0" applyNumberFormat="1"/>
    <xf numFmtId="0" fontId="2" fillId="0" borderId="0" xfId="0" applyFont="1"/>
    <xf numFmtId="0" fontId="3" fillId="0" borderId="0" xfId="3" applyNumberFormat="1"/>
    <xf numFmtId="0" fontId="2" fillId="2" borderId="1" xfId="0" applyFont="1" applyFill="1" applyBorder="1"/>
  </cellXfs>
  <cellStyles count="4">
    <cellStyle name="Currency" xfId="1" builtinId="4"/>
    <cellStyle name="Hyperlink" xfId="3" builtinId="8"/>
    <cellStyle name="Normal" xfId="0" builtinId="0"/>
    <cellStyle name="Percent" xfId="2" builtinId="5"/>
  </cellStyles>
  <dxfs count="19">
    <dxf>
      <numFmt numFmtId="0" formatCode="General"/>
    </dxf>
    <dxf>
      <font>
        <b val="0"/>
        <i val="0"/>
        <strike val="0"/>
        <condense val="0"/>
        <extend val="0"/>
        <outline val="0"/>
        <shadow val="0"/>
        <u val="none"/>
        <vertAlign val="baseline"/>
        <sz val="11"/>
        <color theme="1"/>
        <name val="Aptos Narrow"/>
        <family val="2"/>
        <scheme val="minor"/>
      </font>
      <numFmt numFmtId="166" formatCode="0.000"/>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openxmlformats.org/officeDocument/2006/relationships/connections" Target="connection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Car sold trend in each Country across the Year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Tables'!$G$31:$G$32</c:f>
              <c:strCache>
                <c:ptCount val="1"/>
                <c:pt idx="0">
                  <c:v>2018</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Tables'!$G$33:$G$39</c:f>
              <c:numCache>
                <c:formatCode>_("$"* #,##0_);_("$"* \(#,##0\);_("$"* "-"??_);_(@_)</c:formatCode>
                <c:ptCount val="6"/>
                <c:pt idx="0">
                  <c:v>383811</c:v>
                </c:pt>
                <c:pt idx="1">
                  <c:v>591861</c:v>
                </c:pt>
                <c:pt idx="2">
                  <c:v>227904</c:v>
                </c:pt>
                <c:pt idx="3">
                  <c:v>756230</c:v>
                </c:pt>
                <c:pt idx="4">
                  <c:v>82488</c:v>
                </c:pt>
                <c:pt idx="5">
                  <c:v>947115</c:v>
                </c:pt>
              </c:numCache>
            </c:numRef>
          </c:val>
          <c:smooth val="0"/>
          <c:extLst>
            <c:ext xmlns:c16="http://schemas.microsoft.com/office/drawing/2014/chart" uri="{C3380CC4-5D6E-409C-BE32-E72D297353CC}">
              <c16:uniqueId val="{00000000-CDDC-4059-89EE-A7AB80004B7F}"/>
            </c:ext>
          </c:extLst>
        </c:ser>
        <c:ser>
          <c:idx val="1"/>
          <c:order val="1"/>
          <c:tx>
            <c:strRef>
              <c:f>'Pivot Tables'!$H$31:$H$32</c:f>
              <c:strCache>
                <c:ptCount val="1"/>
                <c:pt idx="0">
                  <c:v>2019</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Tables'!$H$33:$H$39</c:f>
              <c:numCache>
                <c:formatCode>_("$"* #,##0_);_("$"* \(#,##0\);_("$"* "-"??_);_(@_)</c:formatCode>
                <c:ptCount val="6"/>
                <c:pt idx="0">
                  <c:v>1435482</c:v>
                </c:pt>
                <c:pt idx="1">
                  <c:v>349141</c:v>
                </c:pt>
                <c:pt idx="2">
                  <c:v>382798</c:v>
                </c:pt>
                <c:pt idx="3">
                  <c:v>510510</c:v>
                </c:pt>
                <c:pt idx="4">
                  <c:v>562268</c:v>
                </c:pt>
                <c:pt idx="5">
                  <c:v>168786</c:v>
                </c:pt>
              </c:numCache>
            </c:numRef>
          </c:val>
          <c:smooth val="0"/>
          <c:extLst>
            <c:ext xmlns:c16="http://schemas.microsoft.com/office/drawing/2014/chart" uri="{C3380CC4-5D6E-409C-BE32-E72D297353CC}">
              <c16:uniqueId val="{00000001-0BC3-4A5C-87A9-28F9C9F9B155}"/>
            </c:ext>
          </c:extLst>
        </c:ser>
        <c:ser>
          <c:idx val="2"/>
          <c:order val="2"/>
          <c:tx>
            <c:strRef>
              <c:f>'Pivot Tables'!$I$31:$I$32</c:f>
              <c:strCache>
                <c:ptCount val="1"/>
                <c:pt idx="0">
                  <c:v>2020</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Tables'!$I$33:$I$39</c:f>
              <c:numCache>
                <c:formatCode>_("$"* #,##0_);_("$"* \(#,##0\);_("$"* "-"??_);_(@_)</c:formatCode>
                <c:ptCount val="6"/>
                <c:pt idx="0">
                  <c:v>337033</c:v>
                </c:pt>
                <c:pt idx="1">
                  <c:v>317820</c:v>
                </c:pt>
                <c:pt idx="2">
                  <c:v>541950</c:v>
                </c:pt>
                <c:pt idx="3">
                  <c:v>728562</c:v>
                </c:pt>
                <c:pt idx="4">
                  <c:v>353062</c:v>
                </c:pt>
                <c:pt idx="5">
                  <c:v>260872</c:v>
                </c:pt>
              </c:numCache>
            </c:numRef>
          </c:val>
          <c:smooth val="0"/>
          <c:extLst>
            <c:ext xmlns:c16="http://schemas.microsoft.com/office/drawing/2014/chart" uri="{C3380CC4-5D6E-409C-BE32-E72D297353CC}">
              <c16:uniqueId val="{00000002-0BC3-4A5C-87A9-28F9C9F9B155}"/>
            </c:ext>
          </c:extLst>
        </c:ser>
        <c:ser>
          <c:idx val="3"/>
          <c:order val="3"/>
          <c:tx>
            <c:strRef>
              <c:f>'Pivot Tables'!$J$31:$J$32</c:f>
              <c:strCache>
                <c:ptCount val="1"/>
                <c:pt idx="0">
                  <c:v>2021</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Tables'!$J$33:$J$39</c:f>
              <c:numCache>
                <c:formatCode>_("$"* #,##0_);_("$"* \(#,##0\);_("$"* "-"??_);_(@_)</c:formatCode>
                <c:ptCount val="6"/>
                <c:pt idx="0">
                  <c:v>1246209</c:v>
                </c:pt>
                <c:pt idx="1">
                  <c:v>304060</c:v>
                </c:pt>
                <c:pt idx="2">
                  <c:v>674547</c:v>
                </c:pt>
                <c:pt idx="3">
                  <c:v>588382</c:v>
                </c:pt>
                <c:pt idx="4">
                  <c:v>239444</c:v>
                </c:pt>
                <c:pt idx="5">
                  <c:v>458357</c:v>
                </c:pt>
              </c:numCache>
            </c:numRef>
          </c:val>
          <c:smooth val="0"/>
          <c:extLst>
            <c:ext xmlns:c16="http://schemas.microsoft.com/office/drawing/2014/chart" uri="{C3380CC4-5D6E-409C-BE32-E72D297353CC}">
              <c16:uniqueId val="{00000003-0BC3-4A5C-87A9-28F9C9F9B155}"/>
            </c:ext>
          </c:extLst>
        </c:ser>
        <c:ser>
          <c:idx val="4"/>
          <c:order val="4"/>
          <c:tx>
            <c:strRef>
              <c:f>'Pivot Tables'!$K$31:$K$32</c:f>
              <c:strCache>
                <c:ptCount val="1"/>
                <c:pt idx="0">
                  <c:v>2022</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Tables'!$K$33:$K$39</c:f>
              <c:numCache>
                <c:formatCode>_("$"* #,##0_);_("$"* \(#,##0\);_("$"* "-"??_);_(@_)</c:formatCode>
                <c:ptCount val="6"/>
                <c:pt idx="0">
                  <c:v>565387</c:v>
                </c:pt>
                <c:pt idx="1">
                  <c:v>623291</c:v>
                </c:pt>
                <c:pt idx="2">
                  <c:v>936615</c:v>
                </c:pt>
                <c:pt idx="3">
                  <c:v>962940</c:v>
                </c:pt>
                <c:pt idx="4">
                  <c:v>425980</c:v>
                </c:pt>
                <c:pt idx="5">
                  <c:v>121140</c:v>
                </c:pt>
              </c:numCache>
            </c:numRef>
          </c:val>
          <c:smooth val="0"/>
          <c:extLst>
            <c:ext xmlns:c16="http://schemas.microsoft.com/office/drawing/2014/chart" uri="{C3380CC4-5D6E-409C-BE32-E72D297353CC}">
              <c16:uniqueId val="{00000004-0BC3-4A5C-87A9-28F9C9F9B155}"/>
            </c:ext>
          </c:extLst>
        </c:ser>
        <c:ser>
          <c:idx val="5"/>
          <c:order val="5"/>
          <c:tx>
            <c:strRef>
              <c:f>'Pivot Tables'!$L$31:$L$32</c:f>
              <c:strCache>
                <c:ptCount val="1"/>
                <c:pt idx="0">
                  <c:v>2023</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Tables'!$L$33:$L$39</c:f>
              <c:numCache>
                <c:formatCode>_("$"* #,##0_);_("$"* \(#,##0\);_("$"* "-"??_);_(@_)</c:formatCode>
                <c:ptCount val="6"/>
                <c:pt idx="0">
                  <c:v>730858</c:v>
                </c:pt>
                <c:pt idx="1">
                  <c:v>432112</c:v>
                </c:pt>
                <c:pt idx="2">
                  <c:v>653677</c:v>
                </c:pt>
                <c:pt idx="3">
                  <c:v>55706</c:v>
                </c:pt>
                <c:pt idx="4">
                  <c:v>1210568</c:v>
                </c:pt>
                <c:pt idx="5">
                  <c:v>269440</c:v>
                </c:pt>
              </c:numCache>
            </c:numRef>
          </c:val>
          <c:smooth val="0"/>
          <c:extLst>
            <c:ext xmlns:c16="http://schemas.microsoft.com/office/drawing/2014/chart" uri="{C3380CC4-5D6E-409C-BE32-E72D297353CC}">
              <c16:uniqueId val="{00000005-0BC3-4A5C-87A9-28F9C9F9B155}"/>
            </c:ext>
          </c:extLst>
        </c:ser>
        <c:ser>
          <c:idx val="6"/>
          <c:order val="6"/>
          <c:tx>
            <c:strRef>
              <c:f>'Pivot Tables'!$M$31:$M$32</c:f>
              <c:strCache>
                <c:ptCount val="1"/>
                <c:pt idx="0">
                  <c:v>2024</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Tables'!$F$33:$F$39</c:f>
              <c:strCache>
                <c:ptCount val="6"/>
                <c:pt idx="0">
                  <c:v>Egypt</c:v>
                </c:pt>
                <c:pt idx="1">
                  <c:v>Ghana</c:v>
                </c:pt>
                <c:pt idx="2">
                  <c:v>Kenya</c:v>
                </c:pt>
                <c:pt idx="3">
                  <c:v>Nigeria</c:v>
                </c:pt>
                <c:pt idx="4">
                  <c:v>South Africa</c:v>
                </c:pt>
                <c:pt idx="5">
                  <c:v>Tanzania</c:v>
                </c:pt>
              </c:strCache>
            </c:strRef>
          </c:cat>
          <c:val>
            <c:numRef>
              <c:f>'Pivot Tables'!$M$33:$M$39</c:f>
              <c:numCache>
                <c:formatCode>_("$"* #,##0_);_("$"* \(#,##0\);_("$"* "-"??_);_(@_)</c:formatCode>
                <c:ptCount val="6"/>
                <c:pt idx="0">
                  <c:v>295640</c:v>
                </c:pt>
                <c:pt idx="1">
                  <c:v>690935</c:v>
                </c:pt>
                <c:pt idx="2">
                  <c:v>307895</c:v>
                </c:pt>
                <c:pt idx="3">
                  <c:v>184216</c:v>
                </c:pt>
                <c:pt idx="4">
                  <c:v>327047</c:v>
                </c:pt>
                <c:pt idx="5">
                  <c:v>259969</c:v>
                </c:pt>
              </c:numCache>
            </c:numRef>
          </c:val>
          <c:smooth val="0"/>
          <c:extLst>
            <c:ext xmlns:c16="http://schemas.microsoft.com/office/drawing/2014/chart" uri="{C3380CC4-5D6E-409C-BE32-E72D297353CC}">
              <c16:uniqueId val="{00000006-0BC3-4A5C-87A9-28F9C9F9B155}"/>
            </c:ext>
          </c:extLst>
        </c:ser>
        <c:dLbls>
          <c:showLegendKey val="0"/>
          <c:showVal val="0"/>
          <c:showCatName val="0"/>
          <c:showSerName val="0"/>
          <c:showPercent val="0"/>
          <c:showBubbleSize val="0"/>
        </c:dLbls>
        <c:marker val="1"/>
        <c:smooth val="0"/>
        <c:axId val="2001135600"/>
        <c:axId val="2012330352"/>
      </c:lineChart>
      <c:catAx>
        <c:axId val="2001135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30352"/>
        <c:crosses val="autoZero"/>
        <c:auto val="1"/>
        <c:lblAlgn val="ctr"/>
        <c:lblOffset val="100"/>
        <c:noMultiLvlLbl val="0"/>
      </c:catAx>
      <c:valAx>
        <c:axId val="20123303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3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Units Sold by Car Model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Tables'!$F$4:$F$9</c:f>
              <c:strCache>
                <c:ptCount val="5"/>
                <c:pt idx="0">
                  <c:v>Accord</c:v>
                </c:pt>
                <c:pt idx="1">
                  <c:v>GLC</c:v>
                </c:pt>
                <c:pt idx="2">
                  <c:v>GLE</c:v>
                </c:pt>
                <c:pt idx="3">
                  <c:v>LandCruiser</c:v>
                </c:pt>
                <c:pt idx="4">
                  <c:v>Sprinter</c:v>
                </c:pt>
              </c:strCache>
            </c:strRef>
          </c:cat>
          <c:val>
            <c:numRef>
              <c:f>'Pivot Tables'!$G$4:$G$9</c:f>
              <c:numCache>
                <c:formatCode>General</c:formatCode>
                <c:ptCount val="5"/>
                <c:pt idx="0">
                  <c:v>51</c:v>
                </c:pt>
                <c:pt idx="1">
                  <c:v>59</c:v>
                </c:pt>
                <c:pt idx="2">
                  <c:v>35</c:v>
                </c:pt>
                <c:pt idx="3">
                  <c:v>47</c:v>
                </c:pt>
                <c:pt idx="4">
                  <c:v>56</c:v>
                </c:pt>
              </c:numCache>
            </c:numRef>
          </c:val>
          <c:extLst>
            <c:ext xmlns:c16="http://schemas.microsoft.com/office/drawing/2014/chart" uri="{C3380CC4-5D6E-409C-BE32-E72D297353CC}">
              <c16:uniqueId val="{00000000-8789-4521-BC0E-901D917CB302}"/>
            </c:ext>
          </c:extLst>
        </c:ser>
        <c:dLbls>
          <c:dLblPos val="inEnd"/>
          <c:showLegendKey val="0"/>
          <c:showVal val="1"/>
          <c:showCatName val="0"/>
          <c:showSerName val="0"/>
          <c:showPercent val="0"/>
          <c:showBubbleSize val="0"/>
        </c:dLbls>
        <c:gapWidth val="65"/>
        <c:axId val="151777904"/>
        <c:axId val="151778864"/>
      </c:barChart>
      <c:catAx>
        <c:axId val="1517779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778864"/>
        <c:crosses val="autoZero"/>
        <c:auto val="1"/>
        <c:lblAlgn val="ctr"/>
        <c:lblOffset val="100"/>
        <c:noMultiLvlLbl val="0"/>
      </c:catAx>
      <c:valAx>
        <c:axId val="1517788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7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Selling Car Model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Tables'!$D$25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950-42FE-A559-A93A09E3B26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950-42FE-A559-A93A09E3B26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950-42FE-A559-A93A09E3B26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950-42FE-A559-A93A09E3B26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950-42FE-A559-A93A09E3B26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Tables'!$C$26:$C$31</c:f>
              <c:strCache>
                <c:ptCount val="5"/>
                <c:pt idx="0">
                  <c:v>GLC</c:v>
                </c:pt>
                <c:pt idx="1">
                  <c:v>GLS</c:v>
                </c:pt>
                <c:pt idx="2">
                  <c:v>LandCruiser</c:v>
                </c:pt>
                <c:pt idx="3">
                  <c:v>S500</c:v>
                </c:pt>
                <c:pt idx="4">
                  <c:v>Sprinter</c:v>
                </c:pt>
              </c:strCache>
            </c:strRef>
          </c:cat>
          <c:val>
            <c:numRef>
              <c:f>'Pivot Tables'!$D$26:$D$31</c:f>
              <c:numCache>
                <c:formatCode>_("$"* #,##0_);_("$"* \(#,##0\);_("$"* "-"??_);_(@_)</c:formatCode>
                <c:ptCount val="5"/>
                <c:pt idx="0">
                  <c:v>3071389</c:v>
                </c:pt>
                <c:pt idx="1">
                  <c:v>2305345</c:v>
                </c:pt>
                <c:pt idx="2">
                  <c:v>2964654</c:v>
                </c:pt>
                <c:pt idx="3">
                  <c:v>2851005</c:v>
                </c:pt>
                <c:pt idx="4">
                  <c:v>2274553</c:v>
                </c:pt>
              </c:numCache>
            </c:numRef>
          </c:val>
          <c:extLst>
            <c:ext xmlns:c16="http://schemas.microsoft.com/office/drawing/2014/chart" uri="{C3380CC4-5D6E-409C-BE32-E72D297353CC}">
              <c16:uniqueId val="{0000000A-6950-42FE-A559-A93A09E3B265}"/>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Tables!PivotTable14</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Car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DD36845-6019-4E1E-AC1C-F04B0C3B5D43}" type="PERCENTAGE">
                  <a:rPr lang="en-US"/>
                  <a:pPr>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A7E05CF-90E2-4622-A01E-70AD524C6EE3}" type="PERCENTAGE">
                  <a:rPr lang="en-US"/>
                  <a:pPr>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a:outerShdw blurRad="317500" algn="ctr" rotWithShape="0">
              <a:prstClr val="black">
                <a:alpha val="25000"/>
              </a:prst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7EF0723-06D1-4FE1-BB92-EF201711F2A6}" type="PERCENTAGE">
                  <a:rPr lang="en-US"/>
                  <a:pPr>
                    <a:defRPr/>
                  </a:pPr>
                  <a:t>[PERCENTAGE]</a:t>
                </a:fld>
                <a:endParaRPr lang="en-US"/>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 Tables'!$G$12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031-4C36-8B31-1E9CDD2CA5B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031-4C36-8B31-1E9CDD2CA5B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031-4C36-8B31-1E9CDD2CA5B1}"/>
              </c:ext>
            </c:extLst>
          </c:dPt>
          <c:dLbls>
            <c:dLbl>
              <c:idx val="0"/>
              <c:tx>
                <c:rich>
                  <a:bodyPr/>
                  <a:lstStyle/>
                  <a:p>
                    <a:fld id="{9DD36845-6019-4E1E-AC1C-F04B0C3B5D43}"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031-4C36-8B31-1E9CDD2CA5B1}"/>
                </c:ext>
              </c:extLst>
            </c:dLbl>
            <c:dLbl>
              <c:idx val="1"/>
              <c:tx>
                <c:rich>
                  <a:bodyPr/>
                  <a:lstStyle/>
                  <a:p>
                    <a:fld id="{8A7E05CF-90E2-4622-A01E-70AD524C6EE3}"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031-4C36-8B31-1E9CDD2CA5B1}"/>
                </c:ext>
              </c:extLst>
            </c:dLbl>
            <c:dLbl>
              <c:idx val="2"/>
              <c:tx>
                <c:rich>
                  <a:bodyPr/>
                  <a:lstStyle/>
                  <a:p>
                    <a:fld id="{97EF0723-06D1-4FE1-BB92-EF201711F2A6}"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031-4C36-8B31-1E9CDD2CA5B1}"/>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Tables'!$F$13:$F$16</c:f>
              <c:strCache>
                <c:ptCount val="3"/>
                <c:pt idx="0">
                  <c:v>Sedan</c:v>
                </c:pt>
                <c:pt idx="1">
                  <c:v>SUV</c:v>
                </c:pt>
                <c:pt idx="2">
                  <c:v>Van</c:v>
                </c:pt>
              </c:strCache>
            </c:strRef>
          </c:cat>
          <c:val>
            <c:numRef>
              <c:f>'Pivot Tables'!$G$13:$G$16</c:f>
              <c:numCache>
                <c:formatCode>_("$"* #,##0_);_("$"* \(#,##0\);_("$"* "-"??_);_(@_)</c:formatCode>
                <c:ptCount val="3"/>
                <c:pt idx="0">
                  <c:v>7873610</c:v>
                </c:pt>
                <c:pt idx="1">
                  <c:v>11353945</c:v>
                </c:pt>
                <c:pt idx="2">
                  <c:v>2274553</c:v>
                </c:pt>
              </c:numCache>
            </c:numRef>
          </c:val>
          <c:extLst>
            <c:ext xmlns:c16="http://schemas.microsoft.com/office/drawing/2014/chart" uri="{C3380CC4-5D6E-409C-BE32-E72D297353CC}">
              <c16:uniqueId val="{00000006-9031-4C36-8B31-1E9CDD2CA5B1}"/>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Tables!PivotTable18</c:name>
    <c:fmtId val="3"/>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sz="1800" b="1"/>
              <a:t>Top 3 City by Sales</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35000"/>
            </a:schemeClr>
          </a:solidFill>
          <a:ln w="9525">
            <a:solidFill>
              <a:schemeClr val="accent1"/>
            </a:solidFill>
          </a:ln>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275231544840825E-2"/>
          <c:y val="0.16351946379798918"/>
          <c:w val="0.93944953691031829"/>
          <c:h val="0.76635067324361661"/>
        </c:manualLayout>
      </c:layout>
      <c:area3DChart>
        <c:grouping val="stacked"/>
        <c:varyColors val="0"/>
        <c:ser>
          <c:idx val="0"/>
          <c:order val="0"/>
          <c:tx>
            <c:strRef>
              <c:f>'Pivot Tables'!$B$34</c:f>
              <c:strCache>
                <c:ptCount val="1"/>
                <c:pt idx="0">
                  <c:v>Total</c:v>
                </c:pt>
              </c:strCache>
            </c:strRef>
          </c:tx>
          <c:spPr>
            <a:solidFill>
              <a:schemeClr val="accent1">
                <a:alpha val="35000"/>
              </a:schemeClr>
            </a:solidFill>
            <a:ln w="9525">
              <a:solidFill>
                <a:schemeClr val="accent1"/>
              </a:solidFill>
            </a:ln>
            <a:effectLst/>
            <a:sp3d contourW="9525">
              <a:contourClr>
                <a:schemeClr val="accent1"/>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Tables'!$A$35:$A$38</c:f>
              <c:strCache>
                <c:ptCount val="3"/>
                <c:pt idx="0">
                  <c:v>Giza</c:v>
                </c:pt>
                <c:pt idx="1">
                  <c:v>Johannesburg</c:v>
                </c:pt>
                <c:pt idx="2">
                  <c:v>Port Harcourt</c:v>
                </c:pt>
              </c:strCache>
            </c:strRef>
          </c:cat>
          <c:val>
            <c:numRef>
              <c:f>'Pivot Tables'!$B$35:$B$38</c:f>
              <c:numCache>
                <c:formatCode>_("$"* #,##0_);_("$"* \(#,##0\);_("$"* "-"??_);_(@_)</c:formatCode>
                <c:ptCount val="3"/>
                <c:pt idx="0">
                  <c:v>2289517</c:v>
                </c:pt>
                <c:pt idx="1">
                  <c:v>1594228</c:v>
                </c:pt>
                <c:pt idx="2">
                  <c:v>1642425</c:v>
                </c:pt>
              </c:numCache>
            </c:numRef>
          </c:val>
          <c:extLst>
            <c:ext xmlns:c16="http://schemas.microsoft.com/office/drawing/2014/chart" uri="{C3380CC4-5D6E-409C-BE32-E72D297353CC}">
              <c16:uniqueId val="{00000000-F3DB-493C-9D93-DB2E6677EA0A}"/>
            </c:ext>
          </c:extLst>
        </c:ser>
        <c:dLbls>
          <c:showLegendKey val="0"/>
          <c:showVal val="1"/>
          <c:showCatName val="0"/>
          <c:showSerName val="0"/>
          <c:showPercent val="0"/>
          <c:showBubbleSize val="0"/>
        </c:dLbls>
        <c:axId val="1936300400"/>
        <c:axId val="1936297040"/>
        <c:axId val="0"/>
      </c:area3DChart>
      <c:catAx>
        <c:axId val="1936300400"/>
        <c:scaling>
          <c:orientation val="minMax"/>
        </c:scaling>
        <c:delete val="1"/>
        <c:axPos val="b"/>
        <c:numFmt formatCode="General" sourceLinked="1"/>
        <c:majorTickMark val="out"/>
        <c:minorTickMark val="none"/>
        <c:tickLblPos val="nextTo"/>
        <c:crossAx val="1936297040"/>
        <c:crosses val="autoZero"/>
        <c:auto val="1"/>
        <c:lblAlgn val="ctr"/>
        <c:lblOffset val="100"/>
        <c:noMultiLvlLbl val="0"/>
      </c:catAx>
      <c:valAx>
        <c:axId val="1936297040"/>
        <c:scaling>
          <c:orientation val="minMax"/>
        </c:scaling>
        <c:delete val="1"/>
        <c:axPos val="l"/>
        <c:majorGridlines>
          <c:spPr>
            <a:ln w="9525" cap="flat" cmpd="sng" algn="ctr">
              <a:solidFill>
                <a:schemeClr val="tx1">
                  <a:lumMod val="5000"/>
                  <a:lumOff val="95000"/>
                </a:schemeClr>
              </a:solidFill>
              <a:round/>
            </a:ln>
            <a:effectLst/>
          </c:spPr>
        </c:majorGridlines>
        <c:numFmt formatCode="_(&quot;$&quot;* #,##0_);_(&quot;$&quot;* \(#,##0\);_(&quot;$&quot;* &quot;-&quot;??_);_(@_)" sourceLinked="1"/>
        <c:majorTickMark val="out"/>
        <c:minorTickMark val="none"/>
        <c:tickLblPos val="nextTo"/>
        <c:crossAx val="19363004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Analysis (version 1).xlsx]Pivot Tables!PivotTable15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Car Make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Tables'!$G$20:$G$21</c:f>
              <c:strCache>
                <c:ptCount val="1"/>
                <c:pt idx="0">
                  <c:v>Honda</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Tables'!$F$22:$F$29</c:f>
              <c:strCache>
                <c:ptCount val="7"/>
                <c:pt idx="0">
                  <c:v>2018</c:v>
                </c:pt>
                <c:pt idx="1">
                  <c:v>2019</c:v>
                </c:pt>
                <c:pt idx="2">
                  <c:v>2020</c:v>
                </c:pt>
                <c:pt idx="3">
                  <c:v>2021</c:v>
                </c:pt>
                <c:pt idx="4">
                  <c:v>2022</c:v>
                </c:pt>
                <c:pt idx="5">
                  <c:v>2023</c:v>
                </c:pt>
                <c:pt idx="6">
                  <c:v>2024</c:v>
                </c:pt>
              </c:strCache>
            </c:strRef>
          </c:cat>
          <c:val>
            <c:numRef>
              <c:f>'Pivot Tables'!$G$22:$G$29</c:f>
              <c:numCache>
                <c:formatCode>_("$"* #,##0_);_("$"* \(#,##0\);_("$"* "-"??_);_(@_)</c:formatCode>
                <c:ptCount val="7"/>
                <c:pt idx="0">
                  <c:v>286130</c:v>
                </c:pt>
                <c:pt idx="1">
                  <c:v>1018529</c:v>
                </c:pt>
                <c:pt idx="2">
                  <c:v>310795</c:v>
                </c:pt>
                <c:pt idx="3">
                  <c:v>282627</c:v>
                </c:pt>
                <c:pt idx="4">
                  <c:v>195392</c:v>
                </c:pt>
                <c:pt idx="5">
                  <c:v>496792</c:v>
                </c:pt>
                <c:pt idx="6">
                  <c:v>224218</c:v>
                </c:pt>
              </c:numCache>
            </c:numRef>
          </c:val>
          <c:smooth val="0"/>
          <c:extLst>
            <c:ext xmlns:c16="http://schemas.microsoft.com/office/drawing/2014/chart" uri="{C3380CC4-5D6E-409C-BE32-E72D297353CC}">
              <c16:uniqueId val="{00000000-159F-4752-A9EB-A50C7D09E31E}"/>
            </c:ext>
          </c:extLst>
        </c:ser>
        <c:ser>
          <c:idx val="1"/>
          <c:order val="1"/>
          <c:tx>
            <c:strRef>
              <c:f>'Pivot Tables'!$H$20:$H$21</c:f>
              <c:strCache>
                <c:ptCount val="1"/>
                <c:pt idx="0">
                  <c:v>Mercedes</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Tables'!$F$22:$F$29</c:f>
              <c:strCache>
                <c:ptCount val="7"/>
                <c:pt idx="0">
                  <c:v>2018</c:v>
                </c:pt>
                <c:pt idx="1">
                  <c:v>2019</c:v>
                </c:pt>
                <c:pt idx="2">
                  <c:v>2020</c:v>
                </c:pt>
                <c:pt idx="3">
                  <c:v>2021</c:v>
                </c:pt>
                <c:pt idx="4">
                  <c:v>2022</c:v>
                </c:pt>
                <c:pt idx="5">
                  <c:v>2023</c:v>
                </c:pt>
                <c:pt idx="6">
                  <c:v>2024</c:v>
                </c:pt>
              </c:strCache>
            </c:strRef>
          </c:cat>
          <c:val>
            <c:numRef>
              <c:f>'Pivot Tables'!$H$22:$H$29</c:f>
              <c:numCache>
                <c:formatCode>_("$"* #,##0_);_("$"* \(#,##0\);_("$"* "-"??_);_(@_)</c:formatCode>
                <c:ptCount val="7"/>
                <c:pt idx="0">
                  <c:v>1480053</c:v>
                </c:pt>
                <c:pt idx="1">
                  <c:v>2325504</c:v>
                </c:pt>
                <c:pt idx="2">
                  <c:v>1764470</c:v>
                </c:pt>
                <c:pt idx="3">
                  <c:v>2345629</c:v>
                </c:pt>
                <c:pt idx="4">
                  <c:v>3048077</c:v>
                </c:pt>
                <c:pt idx="5">
                  <c:v>2788679</c:v>
                </c:pt>
                <c:pt idx="6">
                  <c:v>1208984</c:v>
                </c:pt>
              </c:numCache>
            </c:numRef>
          </c:val>
          <c:smooth val="0"/>
          <c:extLst>
            <c:ext xmlns:c16="http://schemas.microsoft.com/office/drawing/2014/chart" uri="{C3380CC4-5D6E-409C-BE32-E72D297353CC}">
              <c16:uniqueId val="{00000001-4C9B-44C6-9E8A-66A3A8F65934}"/>
            </c:ext>
          </c:extLst>
        </c:ser>
        <c:ser>
          <c:idx val="2"/>
          <c:order val="2"/>
          <c:tx>
            <c:strRef>
              <c:f>'Pivot Tables'!$I$20:$I$21</c:f>
              <c:strCache>
                <c:ptCount val="1"/>
                <c:pt idx="0">
                  <c:v>Toyota</c:v>
                </c:pt>
              </c:strCache>
            </c:strRef>
          </c:tx>
          <c:spPr>
            <a:ln w="31750" cap="rnd">
              <a:solidFill>
                <a:schemeClr val="accent3"/>
              </a:solidFill>
              <a:round/>
            </a:ln>
            <a:effectLst/>
          </c:spPr>
          <c:marker>
            <c:symbol val="circle"/>
            <c:size val="17"/>
            <c:spPr>
              <a:solidFill>
                <a:schemeClr val="accent3"/>
              </a:solidFill>
              <a:ln>
                <a:noFill/>
              </a:ln>
              <a:effectLst/>
            </c:spPr>
          </c:marker>
          <c:cat>
            <c:strRef>
              <c:f>'Pivot Tables'!$F$22:$F$29</c:f>
              <c:strCache>
                <c:ptCount val="7"/>
                <c:pt idx="0">
                  <c:v>2018</c:v>
                </c:pt>
                <c:pt idx="1">
                  <c:v>2019</c:v>
                </c:pt>
                <c:pt idx="2">
                  <c:v>2020</c:v>
                </c:pt>
                <c:pt idx="3">
                  <c:v>2021</c:v>
                </c:pt>
                <c:pt idx="4">
                  <c:v>2022</c:v>
                </c:pt>
                <c:pt idx="5">
                  <c:v>2023</c:v>
                </c:pt>
                <c:pt idx="6">
                  <c:v>2024</c:v>
                </c:pt>
              </c:strCache>
            </c:strRef>
          </c:cat>
          <c:val>
            <c:numRef>
              <c:f>'Pivot Tables'!$I$22:$I$29</c:f>
              <c:numCache>
                <c:formatCode>_("$"* #,##0_);_("$"* \(#,##0\);_("$"* "-"??_);_(@_)</c:formatCode>
                <c:ptCount val="7"/>
                <c:pt idx="0">
                  <c:v>1223226</c:v>
                </c:pt>
                <c:pt idx="1">
                  <c:v>64952</c:v>
                </c:pt>
                <c:pt idx="2">
                  <c:v>464034</c:v>
                </c:pt>
                <c:pt idx="3">
                  <c:v>882743</c:v>
                </c:pt>
                <c:pt idx="4">
                  <c:v>391884</c:v>
                </c:pt>
                <c:pt idx="5">
                  <c:v>66890</c:v>
                </c:pt>
                <c:pt idx="6">
                  <c:v>632500</c:v>
                </c:pt>
              </c:numCache>
            </c:numRef>
          </c:val>
          <c:smooth val="0"/>
          <c:extLst>
            <c:ext xmlns:c16="http://schemas.microsoft.com/office/drawing/2014/chart" uri="{C3380CC4-5D6E-409C-BE32-E72D297353CC}">
              <c16:uniqueId val="{00000002-4C9B-44C6-9E8A-66A3A8F65934}"/>
            </c:ext>
          </c:extLst>
        </c:ser>
        <c:dLbls>
          <c:showLegendKey val="0"/>
          <c:showVal val="0"/>
          <c:showCatName val="0"/>
          <c:showSerName val="0"/>
          <c:showPercent val="0"/>
          <c:showBubbleSize val="0"/>
        </c:dLbls>
        <c:marker val="1"/>
        <c:smooth val="0"/>
        <c:axId val="2007356224"/>
        <c:axId val="2007360064"/>
      </c:lineChart>
      <c:catAx>
        <c:axId val="200735622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7360064"/>
        <c:crosses val="autoZero"/>
        <c:auto val="1"/>
        <c:lblAlgn val="ctr"/>
        <c:lblOffset val="100"/>
        <c:noMultiLvlLbl val="0"/>
      </c:catAx>
      <c:valAx>
        <c:axId val="2007360064"/>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735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Sales by Country</a:t>
          </a:r>
        </a:p>
      </cx:txPr>
    </cx:title>
    <cx:plotArea>
      <cx:plotAreaRegion>
        <cx:plotSurface>
          <cx:spPr>
            <a:solidFill>
              <a:schemeClr val="tx2">
                <a:lumMod val="10000"/>
                <a:lumOff val="90000"/>
              </a:schemeClr>
            </a:solidFill>
            <a:ln w="3175">
              <a:solidFill>
                <a:schemeClr val="bg1"/>
              </a:solidFill>
            </a:ln>
          </cx:spPr>
        </cx:plotSurface>
        <cx:series layoutId="regionMap" uniqueId="{7A37D914-35E9-4114-BC35-778069175CED}">
          <cx:tx>
            <cx:txData>
              <cx:f>_xlchart.v5.2</cx:f>
              <cx:v>Sum of Revenue($)</cx:v>
            </cx:txData>
          </cx:tx>
          <cx:dataLabels>
            <cx:visibility seriesName="0" categoryName="0" value="1"/>
          </cx:dataLabels>
          <cx:dataId val="0"/>
          <cx:layoutPr>
            <cx:geography cultureLanguage="en-US" cultureRegion="US" attribution="Powered by Bing">
              <cx:geoCache provider="{E9337A44-BEBE-4D9F-B70C-5C5E7DAFC167}">
                <cx:binary>zHtpk9zGse1fUejzA1X74rAccYHuWUgOKS6SSH5BDDfsWxWAAvDr38F0i54Zy5L9niN8xxFudQO1
ZWZlnjyZ/Oun5S+f6i+37rulqVv/l0/Lj9/n49j/5Ycf/Kf8S3PrnzTFJ9f57uv45FPX/NB9/Vp8
+vLDZ3cbijb7gREqfviU37rxy/L93/6K2bIv3fPu0+1YdO2r6YtbX3/xUz36P3j2u4+++9RN7bgP
zzDTj9+/vW2327a4/f67L+1YjOvbtf/y4/cPXvr+ux8eT/UPy35XY2fj9BljI/VEMqEpI5ac/sT3
39Vdm52fc/lEG22EVMTe/Znf1n5x22D8v7Kju/3cfv7svnj/3fnz/sgH+7//oPBdchJA0u2bffvh
7nQ/PBTw3/766Aec99Ev93TwWDh/9uixCo7Z2o+/yeD/X/4M8ieMKQIFnP4eiJ/ZJ0YLSizTJ+2w
35Y+if9Pd/P7sj8PeyT486+PpX68/O9L/UWRfXH/Sbu3TxQEyqU6y5XIB3LXT3ZlaGp+e4xbcbpy
J7n/C/v5fcl/G/hI9t9+fyz9F/8LpH+Z37b/QZ9jnhBOCDOcn03+ocuJ6BNi8Fz/diOsfSj8P93O
74v+POyR4M+/Phb75dV/3+iffWnX/6DY6RMhqFWGw4fc9/DmieCUWyX0SR36obT/dBe/L+3zsEfS
Pv/6WNrPjv99ab/ppjH/7n++uuLTf1DoETNwJYozoh+KnUlYuaaC2Ueu5V/dx++L/eHoR9J/+PCx
Ej78z39CCf888n6DIYfb8fZ4h1/uBd8/fnp3WICqR0P/CAad3PX15x+/l1zdnewEG/YpHvjyuHDf
vQWQq3+z+29jvtz68cfvuXhCtDWKKKOZlEbCHYUvd0/4E6rwpy03jDPBoOK2c2P+4/eMPdkDNrVE
c2Ggf+Amv1sYHtEnmGePPoYKZTXT3zDjT129Zl37TRbn79+1U/NTV7Sj//F7Sr//rj+9tu9TMy41
EJzUFtEMM2pc3/7T7Wvg0v3t/yOMrJjZVh7Xdvb0Y4p3go+3yrqvac/zwcdlbp3OElpWI+0TmYkl
y+JtLpWyiY/mKrsoGyfl6/vm8WCnn7p+dUWWnwHut69/e9l/ad+M7suX8ea2vwNlf3/28OvfMduu
n28A7pG+TzD6nxjDHz781yyFCfJHlvJzdtt+/uYcdvHfDTibCS70XdQygkty30wA4iSsgBslhCCW
whTOViKeMC524+Iazhcugn+zEkRBAaOi1kpKpBZc0H/HTDiFzd+zE0OJsVYQKrEPhADKdju6Zyeh
XkvPlH09DHprr10xmigm65SHOM+W6GbN3JtBhbZPoq5OXdz3kt3IjtsoXusufx8F7Za4UYGUsaOq
KC5HNtUyyVcK24q0XUNclzRksW+yTcWRRDp1yMstvCN1J9frYMpVxyZjxMSjLdK38zjOy5ENpjQx
JXlzu6omW+IsE9vwfBBkyNNLnpMxhLii25y+stumNK0THVpPLzjL275PKsWcuMzTvmc06epxWN+E
NcvrZ5n0PBlm1YgllmHFVkNfNCrRU1m8cSJT7pI4tlbJHOa5jINnXX5cqm3JLpEcDXlC5oY0cdHQ
5l2YIs3jbG7JlGSMRibJWVp+JRMT7wZVDC+qpWk5HqVrHs9F1q7J6CemYrbVRiWk69xwQQRbbLw6
pWRslc7KmJFQtsfG9+TKrk07X6aqrD6VenHRwfVbVsQhHWt6MQfCP/CSDT/3k8+S3GSduzBbOuhj
lzFG4yD68rImAvIYjO/ts7Kgml262tDi/cTS6pNMyzo/1Nuw+V+LEIJ9z0jUvy+XuqoOZcYZO6z5
XF83KxXhuIyN/LUtxu1WLwXsJMrblSV1U9A1ISIsSxL1dV8dgiwPaWBjedBNu6Vx1fDqudO0qeOq
cxWNBz1sWWLY0NnjsFn/Mggr3cHB6vNDFS2+ixuxbs+1GZk4DKFZqivOF7Ec5oGOadzmdGlj5T0P
sc5MGsVK86WILW3NFsO66HRRNVUnk6iNVHro7czTWEmx2ZgPK6njdZGeHJpWWRNXSxfskbY8beJy
9fkX2rRRFLtsa/uYUzrUSUhnVSYmRFsW20xWIfYhmBeOsaKOg42sOyy0HPOblpfVR9q39Kcln+rm
sl6i4rPxY2DxbNu8OM5ezW+LRrPXYdRp4AdeNY71x6rADfCJmVJeDXFeV0P6fq0yW3/NmqGWUcyC
2qbrrMhgHXFulqpLtkkqk3S44dVNVFfmU2amoOOJLMJf5jC3MTF0Xl/WfOPqmG2rkzfRCHeQ5N00
v3OGqxvbNbS/JFsfsouWtoU86iaax6TVwpGLUKzFU9aY5fOqSp3FwzRK9kumi5JeWt3n9VVLBZXX
2+rXS96X48d0zPXbfCvCmGy+qV9xq+cQR6oe7bEzka+ejTqaiuM6RcsV61lGYjfZoow3ubwwS6Gq
i6bqyytRVy5cNibb3obghY7XntmvpM+qFzYdtvVGR2bwB8eZejOyIrwnc+7gugY7rUfH8vyXQCqd
HnKmG5FoMRwnP3QuoXk51klP8v5515bD8LoLvMtirkolj6Vp+/dSZqyL/TDz93mryl+HhhOeNPXC
i6SqlO5ikxL1U1AMdicHpw/10svs4K2sfs5sKtIXZV8Obeysq5+6rjD9JQIxXy5qo51I6qio1oT2
eVNd0nFcv/Ydbxf/XE56mtWF5lUn+jhtQ/Oa5LoY4qmvwm061d1LXUvVHjKdbzoZt3wtDmacmpty
ElkeL7mHy+PtsL7Mxmps4nQiYbiQtuUikanzaZJKUxJMXbg+bkVe+leC5Co6ukKsU7yZ1K9xSQ31
hyj4pryiRGCeZqzc/GFxsu5jP5sFrl6kRfhoTSnGCzXmy6cBfv4dl1Z/JG1DX6s2Nxfc16Q+2sVt
/qdO9qJ1iecuu+qiLm0TVRf2kyShlYdOb1V4asbQTfGa+bqF+ZdtiHk691NcD3K7onZO7VGmPcSx
LKXLYmxJqWNZTduHUTe4EtrmbEumDDnOganNh9iCPpmOy8qj7IJ5kWeHtJ6GIQ7SplvS0mh8tk0V
pYnvSPilt+NiYiK9ecp3EcRSum6LlaWexv8+Brr5jTl8CHjuQMzf0dD/WqQEnN4CSt/HxloA535j
Gf8BTz9Moe5A6j7ghJKkeCKlUBxw1ViO/wRcPYHpCBkR8AkADyCRYYRTDDrjJK7xiDBhhQFTSRG7
/o6TAM+NRHqlhRGUkx2e/wYQH4BUZA/n7/fhNGifeyhJagA3zRmgmAZWU8QgObuPklJd8UUXMLt1
WbV1SVEyOXwsXMqH8RAJJfHbPeH8zooPcRlWNJYif9iHWkBHA3R4f0WdiaqfwfOG1e0L6qVhw8do
Jvh/GwJRl1moffTm31zUUmYslKAEYUCkjxatln4WXR0+Osf58HEc5jF6o2q46jd2chvCdzOq/4dF
GdVWEw0gTBhU9fCkyjXl5ILGoh2Wy0mnqps0z3h109pCVDekXnbk8Mcn/QeFWuReVjKwqJwTGNDD
RSsjKvg/cTvJwkCFKbDC8LHzAcdOmylz4+GP19vnu5eOIUJIUOkA9UYrCoU+MqBsnJGOiS0hptHD
x1LNJZY4qTMf5S7aehoLksUG3yoWS7j6P7Wph4feDVhzgAECcWMHlCCruW9TLkIquxRWxPlY5EbD
B++qrV1LsP6sG8SnP7HiR8cWnCAPphILwqQolbuV38sualGWTpt2TuCWu6q6UshGo+YoXZjX7lqX
dKuKxORkwUdOZjWUF6TUrS9O9Ocpdf/T22SQQmmwilQZIxjlWj0Sf95yy1X7gULwid50S8oLWB2H
hF0BfKviRc/zn5jYwxts4LKQBlptAOAp7pJ+dPYsIiugfVnHRdnO0RveKAGXYdpmC/HaWdj6OndB
kRMJ9k+PCtrhnqXBESI7lHCWFAkkPh8ruSzzSaXIG+IhKkL0ZqiLCguSdV6h5LQV0HgHpc1jfDL3
wve7LdSQCd77Y6t/LAKuOBwvslgQXaBtH/sTIMSsKk3EY97D27nkJIMFDix6E828GbJjmUYKF/CP
193V+ffbZihX0jAsKUGCKJDGj9TNikr4wSoVd2xWWJeMZYHDWbn9+aXS7LHENcNlkqBZQNvsx3yk
6GbVpNCjYmBUCIOQFx0cTlb7yarhIhdqid602zzity6fFkdf0I452Hi5yo684qTVafa2ywysJLuz
lbIo51H3ceWz/WqqtfJhfj4ii8E30m4DrKbxW4sZ24gM+CB9WUr6dJ57u7AipmXoA9I2wlK63Cik
wRgvW7uv+tvivVwwjSyULKdfu6JD1fKqMnbrAnB50ZibtVzLxR50MZcwkCmodreTYrOjvuxISlx+
iPrRch8jqU2hxJyVyKTi1FMDodvaeSzX5+lY+WsalcRHSZbbfbK6NruPzb3aNBLzuuxxBRvE/s9h
jehUPs+R4uni7Tr3hTEX2TDNhX9hatI7dlDOdpiD1WOF1UbrU5AMVTSEVb08/8gWtpu7m7KevjPD
Uve/skn3eH3wOW5eigkhtTIPNX7rwQzAPGSpU+y7G6Zd6AuZNdR3ukXnk53sN7TlHpD4WEdhuNwC
3ADYtJNLPwuX5Sms/DBGwtT9ZZ2bphkvmzIq6ybeFN/Ng3ld6eGi8tMKKVVsG/j8FNl45t0vp3Wc
b3h3w5pc2uiQCtEPLolkLarwLFJ9HqrnbAsiX5Lq5FT8kDOFtCzfY8vZdM7yUKYI2LIUU4vz0lNE
BaAaojdb5+GX2k1mEIGXdTvpyzLwO5+w+LlyCespCKGrbOjp1CW0mEJdJQNKw9mcdGQpbR8X/Rr5
X+xmzfr+PFXtwj7HqsY9rMx91+HQU0o6HFO3jkHSZ5VklTHQ4NlTjYsMTsZ+zZr2i11CD+nIGhfl
4zrNmfCHPu32a3B+3fJ+ghkvvOnwYkHSBqt19YYwe9G37Ypn0ewGYw5DM0ZLOEyKA1SYEEpjkmEo
mkpciI1uNY3P7yMjh0+6OCmhlmwX5zzT3UR0u4lyvc4QUKobii87SgII/AiqN8IZxjEbGjcmUdkj
dxxiNszVvPxcqazh+leLtNhEnwaz2mW76DKpjT+KYQFJ+HG1aejk05mkrHK/dFglNZ9XtzY0exMC
8836M3wdz/xT3kq3Tq/9iDx4PPDOz5Tdunxe5+L6hJ7qqvHQ4tmQm9DtL6bjtN9K3y2mX4909Xb4
JJuIzWA08pLy/rg6F+HF80U/Gb6pJALG+QkVtaxu5p7hBg0nEa9KFHAtc1XXEH/WqMi5X/IizUcX
L8qDxXk15GYPtJGlza6hbNqRXdg1+zrVW9DTszMc4YqMuyrLZoGpnBCv8TYb/MUCUNSzp9SxNssu
TRpkvlxPoBmm7aJirkt5wtrewDFpTncTD6ykwFkr6aA18Ir7jZOzZjifsqzYxvdiqVX9onWdYENs
OS7Wi6ae9/hQDApnLkfh8/pCclu0/U2qgYDbwyhHAi5mBTE+Vs9JGaz6AOJO1y+k5CuQTV2grI8c
tcpEKRMjUqU+1LAGjHXE7rEoy2GHbzpmTP1ibvsNg8hgBpdelCPJ0gXkGGMaduH6QTdXU7Gj5kOt
K+/FsST9YtfLgckG12iuAUJcsmxDwPC+glnoF4DaAyex6EGNDHEvRMrzWHXZglmskPtpIzDBmCUF
dYg3TZ/l07WxvsImVRkm/JbSSqoPco3215HIS3wUZC3K/KIRrpvzQ7aIOY2j0xRurNo0Pyx+GsxN
SnutpzirGtnYqzmvaa9ATpYO0zdGjJh+iHIBMS7gW0J3IDbKRnponeiX7oq4YcVJZy5FE13lUYCR
XqV0BcVweZJnI9t9dChKN+QHK/tp/qkogqYEJMDp8KBeojdFumwbiGzcjV3K7VZAT3PmdydfV6HE
hJm0ZBCJMy5tr7haFvcRXL2Z34ZsLczXkqR5+dFPRjWxHejmnpUDuJerYqnDsB60rjWY33WAuV+c
zGAJI4fvKCsCe1qNE1g4kmO7625VE3SwEVhPe2iHCW/4xsDxHkbr5nI6LN2y4bDcD1p9OKkAlj3v
Z6iaoKHHAGoRUa5AnrH0z9atzu+8Kd2NQjRtDqeX75UkcSx8ESCkTXgyVc8HzmD78WAYrO4kxYo0
M8Qt29DmL2dHu6y+SsdshdlGqtx2GW0UucFhaVKP6e1Wkim6MjbvG3G0Ku+hyP0i7POeJFyt6W5s
WTr2dRG3w2hGkcx6QIQBDQNKZ0OWsa2zOKwKQGW9bEK023EFj1+Ja05KMDEfSV0MqX5FQ75P1iB3
G2GrpOf9C1HmHXZEydSZ5Vc/pfuB1xTEQg4euNx/PCtAtc1+km60QS4+Zo2/u3t9lYs8lpFDIn0o
1Wj4UfQBpn4++UlvEWAHljk98WAYMD28SzZmN3PUbaq4kqFzhgJBuxSEfbsu+20/SbctAT/n2NWZ
NOlFNke5Owx0YXhhaYG1fnsv7eSIW3u22NAZCnX5vm7wY2Fwpg/a030biCdwIm3uFrxQ1tN+JafR
7ZovhtBCu2XHliV/ezpPlLapZdfmzqOVyzxDzql3FKNKHfY5lrzeNTIXclfhVBQMPxKkFNB55LNo
vC6daCFZqipP3W02Dh4vVhHZvaPIULx2iZmXVPysmm029JNna8vVTxktCuwqp2xfRolIteOBZhMQ
WjysRUTcrd90jjONgZJCXeBaEuFB+jUVPJcqx2gd4qZOm14m/OzAuml3qPOy3mm+ByVRPA1FsPl7
MkRZNBz7Ot0fNWW/QbhbQ1kLDx1UHzogI0895prJOBdPm4bQWSUznYaMXdXKDwhdmV1rRB266Rox
IuQ5AWJu21AhWCGAtYDrRZq1s72YLayvf3VOXPqVtO0QQ8tbVaNgWqTdAvK0Q6PYRTcVHDAB+X2H
qQdQjwhJxpQUU3cFui5cshXbHjGL0u9wWop5hw8EBZdWoESRU5Ndz7OXbf7KtjKw5QbCXbFr00XZ
AGVInYfp6KM2xXDcDdO6S1qDDy2feesarJdvfL/FTTEGjupQmbNMJDwgNazjfp53TDDWbGD8eQrm
V6Eq1jRCzTFLm3meDm20lzWSc/SegUgwJ9z1Po606F27PIuszikSlzRCNkGSJmBL4yVV+X4er9aJ
ANkb4bv1NR9hr0Cf6TwCnYCA2VG0XNYcP2bAOYBZJ0g11AG45CnRhNY+Ua3X1CXnpavVljw8jaJ+
0VVs5tXA3U5gDAD7RGEldnfea05ta9NjiapPxw/dynfxZTMzZXlAxFmn+iKtcGf6xGkU5VFbG4b9
jLWYUq0TXtCRDoe0HExbHjvVuvSWAKRVE2pT6Ug+NyfITFe3H4BxD2wU0WqH0XBnGsfvIrunF3lX
tTA0YM0ROyj3TX4cpNhZjvm0cTil3T2N/bJvoNhxykf4/32qvpZ0V/uJf9N3cCwt4VbenFUJf7pr
NPDIZPLaLtXkuqTk3T7hKcPvXLlP2/vQwxrhmndCYC38VG4XbnaTe5WtttsB4x3/5bNy9wT2jhKr
yNRW7Dlrx1r0T33f70dQZbSrrnNqz0DDKVE6Z7iAfBxXhjjrgexqXB8MaOSWF+zjpiLQ8O8Xs+72
WS35bkt9qvcEdnCo39i341ItU3heFihxRsh8Ua1JmUO1bW5rdjQnsH82zWJVFhOIk0mf09T5NHla
zg6HjUQ3sOZ5xMIwqWfGdabZy8x3efScab22F1tj7KABu2RtwvqZkVbiRv3GitiN7M5hqgvIZzyR
hR14WXzrQWnu1mZTh7vetbbcX8k3Yosq3vp5z7Vtb5ECPB9nK9ImaU3UmS4WXliYd1FM0GIxezCq
/R3TiWp2jjlEJDO4UaqsZyYpUCdq8stOqmi2cOH17rRaQF2sfaZGT3oTJ8rQKb0/6le2Ew6tzgh2
Z/J11mkSZWSbmnjZlggWnpppDyLDYmlFr1npMyEutchHDBiQhZvimHewhvWIWu6eXZ2NVvK2QHQI
vpejTGwDf69ixZQ3+QFszow5wzjv6o+mFp46rk7ZPk2twbJn35ADtlb5kU092v6ugK57OEderwof
Z5M6I2YUAvdMchGb7sproTLwhMfTmc/GP9+h/fO9b9S2S6q2SAHHQ2bHeRsvkLLM5ZA0pJ6hz7Vl
ezaKqLxfnXXaejQFcNT+5+xwmlitusQ5JiTfmMTf8eE6IjXUM4Gs7/JXp/fCXTLEUF7DfGc3RKp5
H8TXYie4FPceH5VM9wz8zDrOJ0ua+3qnctheTUCGxrb9TUvpLt55c36ZLruNObWhG6FC0DqebU4J
x1JsQVUhnZ5HI5iE6ZmI4P27Ih6RBNr2aaEXJLc3eR/UKA6jQwGzf7/NC4DhpQS6h5jP+0XJm1Of
aFlvnt2kKCTnz23f5crFbR2Nxl73k2ym/KLm6FjI3si2MVH1qV1D59PrzDM9u58MmgNW/krkqBvT
F6wg+4fq3YidnY95NuH+xK/4rt59NvGMANFOPeD/564tom08tI3eucgzhXG+3+LEzljEGcjqrEG7
0nVpkgy5sHyV3lVH/phJfEiZ7+1bxoA2RqUAzTZa37XP3COwG2U7xRqB6H1Kn9MThXj2gCtwAZT6
x0vSvaJ1n75kuAVgy0Gg7F1cROx9ag9Yc8KiOaQQzpl16EgkIcZwspYdqkKHxalssPia9dub6cQG
CMm3LL8yfmBF+YryrOdfkU8rFR1QRV5mx+OeVxUirRpXDwP3qfCwQOPRFjM/jThCM0xoG+C9wU25
0iISRL1MPbkk6CIwn106UzUlpFrHYYqXExVm+2jnV8F3U0zGT6HwVBXrkDFhuUg3UkNts+qVB6S9
KznIrdjZnanMd7SZUbPb/Zkb4hXZ87TxZCVnhoBk65j1F2mk66KJ+VLtwT9VYb9ZO3rEtxNtsPGw
l3WKqabqMkT9HtC2+6Bla4Y9hJ1+qzSICwhhml37VVTZCsY6ZADu4+GM3YD5UHJDQjvRvYdFbYs/
nEnlVfT7UtnqKthxt/ndwZz31I49uKE64zsMaDndccUZWi4F38NwcYr8c42+Fn15LgV13ONfpMQS
Joe2o1aABK4u1xRNMi7JC7sHtrMLPyOGRtT7gFnkRVhjEAyd50+tX/rBH5fT/qD73YGcXSqQOcGm
zSB2vZWnSHyeM6AvC89K2e7bFW7ZX6mGqenswdOsrsUxn6bdr0+EVAy9AnVb5gigS7tTZGlR3J02
c7thnSPA+bTrxnZOlZ2gX8dkXVlwjiAUy3dtC0cA8gXoM/pwvuV3F+vcWnquAp2aJL9V0B99/du/
Vna//NLtDf3+cW1+X+r+1Oel/6u9iQTliH9edX/Y2/v35le2Dzt3KKLxnnDOUX8lKBrdtaueau9U
PREKraxolED9Cq7xXHePGHtCQRgwgrKH2WvrKLCc21hR7H6CMG7huAiaXO+6X/+NwjvFP3t54A2l
Eqgb7X2KaI61KA/vG7/vDUXh0VU5MxYXijbsgP6nIZas9qiPCD1O79ki1BrPEdKE5zknWzUkfFh0
HqeZ9P0LTjclnqtmGhp0z7mlS7gQa1QmvM63F0KUk3kVBm4zG8ttzNLXlRAOCKsk9XDkpLfuamtU
eVlJkWVPWejpWMe0nXJ7ADUX5jdqQ5Wlide25QiiEdumAzLm1d+CndPo+6obBtd2WNIoe9VOflsO
SKNX9YH4auxtYnHq7LIqFyMlHG+6Li9RrFz6Ds5JpPMxuKYafw66VzoZ0AuxJMDPW/2y6ZraXVYt
GiXfIGDI6jVozb756COvX8msVeSVnJQwT1U3+OXAl06jMYYuzXzRzP3QXdWzm83badWd9IdiNl11
sHNo649NNqIBC3E/bOLAxrRrrktVzPZm7kaUX0BIATjfcFhMuR3GRnMi46XeQvaCmgGoMcHxuvW9
HG20PQ3LMPZfuMntUMfjDBh5WyMhGg52a8IAMLxRm/axXFvPrqp8oNWrHj1a7kMuNUo+hYrQaMiR
zEfXTc9L89VMfpyuUInY/Je10ki444VXhSDoTUISBKqUGFpnh1qNLR8S0CZFvhxGtXXbVZlBJV8X
Uit5KNqNRhdpR+FtkfoKwZcYjdA2e9mGvWk3WTlaoXHAGaltHhtstoAgijqd9vdd7V/W09zxF+jr
s9u7aLJjwZNlKaYlvUZJmfoPYqE+fbexfBl+GdDe1P2kh/YYaouqkS/ecivFsyrw6pesr8ZrcASg
qiv9Tqyq/0y7KkU/5Ty/IybrD2km8jvDfZVX6PxDTTE75F0AowaMGbm4ybIFgliW+qcy6zT/lWci
nd4PrKrDM8ncGEvCi0AOviBRGZupF5M5oOGslUvigZXf1gv64eJSlN1FOW/bqzQa+wsoNZrR50kW
cKuRhBlzm9dw2eieSBZaVFmC3j31HjUQWl5bWTjbJo0NBUHva+XITyGyaZYmmUFh4EDQH6yqmPbo
NnuOzsKCXBYRW7aPQEPpmB7lUkn2oiptt70EqqnYrxo5yvuqXhlIlKiYwOetDb/sbD1f4Ial7/Eq
uyz7iffxCF4MZakM/7uxde7UU0KLziaEuHl8HfVbpXI0PuSsLmPSVbi4IxrtonfFvPr549pYGz6D
p7DmmqgmkldoZQ3FzbD2HfvqEOi6C4q+xfSpCkNZHnP0SKNjbuH4950vne+78WqLfPMaDdtllYyg
hClMb6h4gtbIMhGTd+SIRFksidBzUyXTGnXvozkHg11W6JyM8wmu48X/5e5MluNW0iX9Qo1rEUAg
AGwx5EQmJ5EiqU2YJIoYYsIQgenp23m6rG5Vmd3qvr1q683Z6FDJzAQC/+/+uasXuGdowluW7xk+
1ByGUbqWmZTpCeZTnBwylgQVs3rgRZY4ALR1Cs41zLwaitEH3a3cSGdzKicZ3Yjd6f3kqIXqWQtr
mhwEZRpW4WL126w9IgHbmMmbIBrnB7vpQJVR13Gfg9dTU66i2Lz5UO9/hGX8Bnw3NhE8+j9gX8xV
DXrhSTfp2y7i7UlMYMzPLd40zWUjggNMK3nUMuCVIPscFjB16gt+kSDN94SA/hhaetztvFQtb/Gb
6WCa3tdsBQfd6qD9XYsleDVsru8d/s5S8qmtFFScp9ik6tgTHh0H4bdbEyr9XHd6eZyMjMKLSKZP
pDZgQInWMBi4e//e75l9gfyZAlR2NPycQwqYcYShlgdbmuQjvIGl0qmjz3W072kem7n+JC5K3hIV
clWsnrmi3VZejU536uL5iAW6TePvjC/rftwFBbWLHQv4tg0lNn6dNOUMW/y+yYKk4pjnZUXJKFRu
pmj948f5xY18hnANbeONYR57xgkArYOyQIyV1oE8e/AsH6mas7t2YnWZxqYuIxNuV1jr4ge0yp3e
KuuWavZqnPM0XLr7ZOiSR3zM65nrTP6Yek+bnNrUH2aAOHVuaqxmZW3quS1WCI6FGSjtT33Ix9cF
D/u67NeQD8dkZuxJBSnHqZg0b4Yk87We0+BIBGXPHLDp+0gWf6Ap54cFdNxTz6KpGtRKTnMSXLa0
afMm6p+JXIc7zK6LuN+mQJ6gllCou3qZCxi9243jOGyj3p3a0IXQQLFKn/xmyCVaSPwy0vYXG3pz
oWt9K5ssprlaYved9j3DVU/YNWH+Xm6peu73fS83Oo8FxDK4Uda6Ym7FrbMhL2JI5o9eeXuT7V+j
QNSH+r0VU3KBlBk8LdMmS2esvSdCNmUog/o9a+fxOOhkrgaYfp9qD8laZEPnoZ8Glj2uxA7y3G/Q
fTeEfXgxrXN9CEjX3qrdf9Ztd58l7dkMQLkFDR8SaMrf2DAEVdeO7BUGq4HK2N8lyl1HOvhz1/Qt
qHqryaeQs87Hsblh40QKijXkexCQMHf1VK5Gs3NWzxgXpukyZAHJNZlxsICgtMWwgn7Os30Rz2tm
4wOefB9hJNq5ALq85b32x0x29qZfzMGYsRvKGf5ef+7DUcJV78kMS8Ddw0NabzDkpCccqNmt3rvg
qHUdf8cYFPAfQKnn+mPlG81yoszwJBWBS4INdS+zNjAmF51wr11ro+gyOrs+x6mddDkHwvd9mdRj
5vIUru5w0jWGkie6kyV5Vxmdf4GW4H05bc12ajtvygWuMEgT+tnXvt0OOOT0H4lH/l3q+auyQfeu
xwbHsx32ok2ILryY6uEm6ucWjlZGy5m0u8zXuMH54rswNwkZriDzZRHztocF41y+bqu81f2WvuHO
CLaqC6L4iF/eh7ltVH2wGDW/r2pug7Pqv05tT+uEFx44hDsk47b9XpsA2lo2g6S5h+s6HGs4uL/j
1YSVbcet2Omifsyi06pwhM+l4HOG7zgIs0M3wfDtsElWIHXuw65L64qlEOxYY+syGNS2IV3D9K1w
LX6funOFXfZbSEpDfdDAFm43Ea95ZjZzBPJk+4IHCT0EdJkrIYMgzDE5qwHKI87TnC/1clj3EPbB
HC23kUjHom/XniHyIJePrJPmm5GteYf5L9+2YGZvKxzOpzWLLc3rZIc4Rbb0NR0nd5pnaQ6rtx8g
Lshp6EZV1h1Jrz01+mr5Mh2SdFcfegmjo5eMnBq58ByU/oiDMtL3cOKaMuZwP6d6ap/mhZliagJ6
gFymX0K4KxdoM/S1SfoXmOtY2YeUHG23z38gmvXFqpI/FlfDcc7gFYCIC/K+QVIB3MUTxoQJD9OW
aYAeWVzA8EkfQjjV525P6usIXBKD3VrjWUvEVdrpT6viLihw/WdlzNjwNOLbjC7TxHU5ea9fWaSD
0hqijrNVza8Fk+Sp2VLccFNI5Qv8GnVkMI3u7OLZj8Ua9Tx1f0WNpn5VeQDd9ejWHuNpYrbmni0j
AHck8GwuEhfLwjgZFxLLm8Fsts5LEXfhJ0IZ/qx2zBf5tJKkWhIdjoVsE1rnsYQEG8pF+SqE0nfu
5Y6hwYwGM0MQsvMY6bGrINgBaB/qUQSXNN27vhBr6o8TtPUX3TUyw8XZu9KmtRf5KhBfCsIx/oz5
pn6Fg1+ubeYwLe5s/LGFBh62noQtxo7wLneT6X9CRtMXCjMj57vwa7HtjFR1JPpyCMZhftQqaZoS
CZYaI930oMKF3c16hWVFZFZppd0TyijiO0eQoikms8U5iNHZ/BU0yH3ohx2ArGkvPNzJmCsy4kqM
xsQk5eo6L69DF/rC93oq6LokshiDOchTSOdxyUKlSoHMxC3ikgm5WlzbqkRyacRb2mgYITQSYRPE
FbvcZT6Rz+u+EFEGG+JjNyuosFMzpNHTAKDzNFjJuss8toiWuJhNL0sP6jdfupUWwBa2uPAJbcJ8
aiRdX/20XcfQWJHTQKoGgzZpThvgoQojTPyAgENwHGrGf8fhQhDVlNY/pDiGz2yT3e2q9/pXAkRg
OtekDpNKQn6tFhYjTQatCYeWbG1YtFm3ytx2atxvYhsjIRFN7XzIEi/fgy7FEKj4+FyvE25Fi7kx
b5KYfMJV1xUXojsHOOVea4DQv+aOtpV1HaJBdjL3nuF8onwExhRxjaPKNcG93319D3mfiKIPrfou
om7MZzxgtgLgRnPHZOarpksQpokbC7OFRuQOWldyl1m2/KQYKatt4Oz3bMEcFqaLiUBCUIz3Cofi
eRQDuwUVb55Nmpn3JK0xTvfMaZuvveuf+j4jh8EodbMRR35wWU+V6QQ/EzcGPcIiu/hgvRtKqsXy
LY3G5XE3yBfl2zYB1rNNl5YkdvQoefs7I2v9Xc62K6D4NVcHJcLmoxZduQ3R9ESZ2U9zO/oOy33S
3Q5AES9ussuxDzaWL3CKLgNHyLaMCXttKBXn0c3bt00E3R/uOlVsWeRvBotL0RMnfsc1n3IXT80d
R6LtieJQxIMHPF2eYVt6bMJM4QJbp58WvtFjK4g4IBs4VZymZ6jF/lYhCnkxyBnRPMXbh5aohm8p
0+KHc4O+hv2IhXvx7W2jWzzHg0ZudzGuYoQsTgpcAA4QGNNr0eo4+hELoW/gyPW3XVTTaojstwnh
wi5fKbWHLOpg0OP83tJ86Lb2uCjRXmDmq4L6Nh4x0Y7qO0POBgHHHQ/oxChbJho7Ic5vTR+zOpxe
zZBMvOB2WzDA+1qygop6x08sPHusa257PGj7Pckj02C5hnqCoRqlN7CMCT85TE0md2HMQKGO6/xz
AK315tdpeenpruOCrXEcVvVA0+9fzvGMy2nNzs7HyDpu+9B2v3aLhO0JHm6CmJ6W0ZkxOawHgh1v
OmJU/lDTnJSCTMvDDKpoyech/SRpN79PrSLTzbqnvru3FHY7JIB1J7lTm8q7Uf6a4nFdn7tZ4sYF
c2ugkS71ayY2fpoQwPsG4UMch3blQbEg5hafo3iQMDzGejst6xiznOi4DeBJRZkuw3rjFbKwo7kE
MbMmX4ZsuTUeWHa1Q4GTx3GPokMmprRs7RB/8JoMR+QWuqVSDaZx+De7LJZEBEhQKvKH7xtEEEvC
as0QkComOkt5wHq6LxWuccrOPV9mV65puN1C2HF9DrJAP1s8LlVh4jmo841Qls+kH17WkbVpbpyB
6pXVNk90q397R+PL1AAl9wkHbuXncvRL8JtMusHeG0EK2KP1W9O17BYDalRCn4KPp0NyFwBxfqRq
N8dwiaI8HU1y9QFbvyXOyDu8UyxigZbvHEc9kE+o6wVwWC1z5DkkwKqgqfS49xUUvg6hiTSrqz3e
tuvgBpsgB4pTpbBd2x5iuN9P3IqmaCejsqqBSUGKLzv5gSOINxUrQBxypYmAMigpPCwMA2uUXPwO
K/dpRGAButvgNnUDtaNOSwQ1m65oVx/7HANEEH0b+8nWD4HoPfY2XFmLbvMQoBH/w/TuzS9f6y4+
yHgcnCpdOvZtPvJht98RPeHpyUvZdB6hQrmKNxf7dCS4CrkIjqGeG5+VPfb2+qg6mP8PE5ZxdhYJ
QvtFNy9YZEA4ZeKmCedtr1LS4lXhIiS38dqnn0vnuuzHmk4iBjfucDjBN434eDsLnTxgc2Ddi8xg
EOZs69rpzCxS14fGWwGMD3uteIxFJOxBYWtYzvuCo/KwO4lXbWsdfxjsykO5A6jILcWTOW8jo7u5
oAk22zXvO1Zn5RaDQa9gJeDPAfWR6LEBqqNOHagRX+G1gc4le0ar2s/uhi2weg6LxmPmaViSeT+0
MtTiSHA3xdd5St1+M0q5sVMsgYedoA/p5EZZRv0xWncokvnudyqegjTGi08BCdIyxRutwb3X23yu
s0m7hy2AW5lHqWy2Y4e2n+AgGyQXT24Kg+Cha/tMH3fMLxHYeyTATxlbubhVZAWdM2KNIi/Q0jmO
XYMUCcatjsEiQYoseMiQFM/K3e0Qav/HlGzpQNZE5Gjt2m6DZUd6E6mjrKGAKWBw7cXWZPVeInlp
bxMKYLHQIHnTAw+xWxXBQoHP1LHmD3CEllvhOSRmEUL7A/uUYztRp52JI1+CEQOS4zCnpl0fgXKF
hZMZ5g6t+a92cnU1j0S8QMbQyJePCeBZu5y1DOkN3/bxLLyQMKCxxcO8DqomHH9zxGqRR/Zvtc18
PrbhcIX+mjzHOh3vZ5CPMp/FV7hXYXW7X535GMT6sqba4bXSt3HT4KH27AKP7xI6pLZnjmRznM22
wtQFt6oxwPHhIKGVIuyKxkHRalTzOu6YOOauT/JuCKZiccF4cGzX1dDUzbFZp+AEwxmrMMMIZhzw
ArkcJ4R+KpcOuujjfTkITbacZs5XEMbpQzwNopjDOtJVOyOQcI4n4P85ItcSogoO8I2xrEoNbX9O
EaKrQAZxowN+27IiaeD9Xfdx706NSm6CeapPwGt0xYJmOwyheprS+GfLVWJyjSP+EXl0epxJLc98
YdO52frw2UnefwJVau4mLGUj8BCtHtSe4tk1xDi/euuv1PvhnRHqvjxxZDfCEUHbHi/3Y0EK8tTE
Jio17qmbuh3Wz9RkNjcxgP2cgzc8ip7yX00HFHtf1Xc1u/p17gNeYttIfkeiQzJXt5As8cG+JRPm
jnlq2m/bhjYButL5jlKF3DQsogJ6GdoHIqAQ0TxnRRrU44HYlB1I37xym23dEWAUwSE2LJicwqx+
CjzvTxNv/zBp+LlFAjmCoJjLOXmhpulLKgMc1UNLIIQiZ5Wt4pPNS3emjU5/WYSSCw1xHKTOx9ZH
HBoz68t9j189j7qcJoyWzYJpPQBrfzMnY/+Q6PUnRvqgMGqG5IEbL7exrB/adEtLTiHHAs71j5jB
fmnctHkvMjx91u5Bwb7JMaQsB7o35m23gJ4rxair+rYfvknXLgaBrVU97XZ7pB7tBcHqSbUHS39G
MDAomTJrbgWh5aZaWiAI8K1rdJCLIRtH8C8LZstm6n/OkjztLnra3PayfUXfDIXb4exbkIz2Bp78
qaWkPg0S11UXLe+Grvu19dtFrPMOaoSJnDU9Owpq3M28jvaqTbpeQIli3cBcex7CAHtPD+eVtjHi
+Lup7xC7R1gmpX+GzGGcS9LwSwJOx5yDaT8n0fi7HWFfDRC5LsmQDEUKBNgq+CShy9SBDJi3QH8d
sTaycoITXs68Xopw4m84Q+d33y8XpmZxbuU4F5FH6qXyA0vgDnTTyWX2sqkwKOMGlBke9JGBCEvj
pXDhHN0De5CsbCIXa2xQzFywuZmmpLhflqMSvL2JhOB3Ecdl2+/tesoivZX7rF570uGZOgr6QhTV
8Po2XcJeMpek0ZhSACED3zIvY83f6hFXpmzdWqrI4PhO6KsOd1bgy/ra2DrAwK3aoIa1E/gmbLCv
VNHfljdDKTXHisa4PmIW0OBjTXzLjA8+MrEGOQ1tW/RLgtqFxr70El/p6mF3FRQ6HtIoU3hBBCiF
xjLUr0BCMfutfjq0SQQnT4I9ahuu32f4h9UYbGtZzzot+g5mGxbHLn4EJrQcXft1kAPb+HoQbPUH
FlHMGiGyKavE2YhzsMd1bOv+skD7zUVqbr0Uw3cKeqpIagjXnVhxU6aDOSW0RaFPlARrReqYn3zt
j9hmWqzFDkQQDMJtqczS3nrN/QXiIM7wxgNSVtPjhjTZDb5D84ftnYDAYLCkkLZ5Yd5Pt0un5HNj
MWzkgVoN3lqn4S9AHP4MHMZpO3n7Em6kLT2TKUQTWEelVs1S7CTyeL80WNh17HHJnhMW/1ihIZ8D
IEesgNA5uWpNkg6pFLNjMPThNw7zsNR0/dWEQbaXPhhFV4l5aaPSg0ruc0Cz3B4XFOlcVqR1XgWU
1Bu74WHZpk3/CHfbFDJoE4zokNIK8gUvRE0b/ISAgSE6QBEDtfQaItL1sotuO0S7wUU7oLpjA54P
UeqRmuzRBRKdNJgUecF2uZcdWkxKygiEbAlECHS6A/i9SIMZZAhL0qe/W1ApqMchXFRTy4ca09Io
+3xgqkNkBThlPm41BGEeN0UMJw1TrQ7vZ3ivEIDYdJhbD1VojebcIbUJl3nslwMwCpxBnQrnQ79t
26EhipwMS+HkZVT98bu5oC1GQXkn20070eAe5zU/bhsezRhWQbqiweKZs8jlwFTn6z8ABn+jLP5N
Vp5/haoBi/MESQlGWYLyon/06wddL0GElEIuw/mEDe0gN09h8KLm59+/0L+mPNOIgAqgFC0UPGMg
R/75hRACWtDwobtijAwbLpq34XqzxTsl5b9/oX9OMad4GxyhYQp4ipI44fxfwuIC6bSu16atIrip
KNeZE9flcFfE+2wxO5YZPtQdY1rWPNOax/P/JrxMvz6xf4izfr1+iP4DwGgJmimjf00vL0OaCfC8
bdWagCHECxmW5XELcAG4XWQOKXqW+jfwE918JUCeHlDnAqWBDbFA9EAGDSD3nmRX6jxg+L8+m/8W
VPNssRbqf4Vl/pGV+f+Pu6FfPMx/zd38vbjzP5Gbv37ifyE3lP0HKNyvmDZiFaiPI3+vuwjxB7iu
kVXH7ZPBzQIN8zfqhkb/kaYxj5CUJrgKENX5O3SDwrAEzZnZV3cDSB2Cn/pvMDf8q6DuHy44ABvI
GSAKhrh8DCIInQX/fGcleJiBi4EuN2MVWo8bQp7Iu4aWZOddQfq/65PatPk6t7K5epc40K4OnuS5
q9cU4mvPDS/gIo7PCURb7O8SlsM93KimRgNYCzgxr/1A0kvvqOlwcoZhqCx+QpKopFO/N/mgSdAi
25eM3SnZvuI1GAIsvwKbX0iBurwAUl1LfIxOimCjueVo2SvmtcOTYw0oBBQeUXR8TcpK6BMww68s
boIfe4DAcw5NG1YC4uPbFZZ//UN20MWKSIcbNCSue/x9gPyXnC3QinOZ1kl/YoFrdI70rd6LToRd
izBFh+Knja8OoircZZejV2GIDtHMLa84aXtbBIPk24kZpt6yRIZ3rGGWVq5W9f24u+xnQ9P4zdYu
/ejFV65m2mIP33RE8hZgsqf8DYHQRb/WFAswZrNl1dctBLBxWRC6nHNjQ5GUHgpkesZoutlv0Y5Q
A6QWBJMric0aG2MPDwb0QSOavIPA8N1CBaDfYqTR92vcjf424wKUQQTkvsf4O/n9ogYxTPfTJIgC
Gu5Tl/c8lDchj9a/mgNW+GRYvg9DljagCObViO9QV2d2QB1Wo0+TaACb1mh0iKqhnYZf42ag2cO9
SX43HB5MQcKNfV907N5J64K4okq6o0+HHtBOb9LfsBjsWHbI+kzQvpARKwjVluUmjTVSiwiQ33Rx
HCyQqP0WH8aOJ1shgYtB6kC+LMlRnxhBbqL4tY7xxFc8mwePKdUGwUczox0hX5e2vaFiap4C106f
lLEX1wLGyZuJEjSbubSHptyl7TcPL6fFBySHg1J0jbAljaib4nsYvYZ2hSALbwuSQrKhMdGzGS4j
En2kxtSn9j4HDwRjSoSok8vdqtc3RMEiAiTCm99A01vkqSKHyXbn8f44AE/C7wYMXB/CyKYmV2aG
thdlZPzTQA35DW/M3CfogPjVkr1Th6m26wIRbjBzyWcRS/y3XX6kuPOHnCB1OCJAB+M1b6FI29yv
6BNHyqC/hyDj0eo1jOuObc2miBSMIgbt3AzoPmoAEVvs7iMi/si1Yv4FUYfKNSKWjeTAzej+pmQt
fusFc8Cx1zY0N3GK0D0uXd1P30wdsqZEqr5t89mF8oF2cfgktl7eUoDeaOcaJfkYhjncD3XLVw2G
q0vfOgjlj4677M0iYmnyuYeJd8aa4uwZiX19P0DXlAiKhYLhlkvgZ8Gfqv+E04YGFehsKRxxtexh
AcNv03kc2aWG5bWqlwUaAma/sNn9S2dV/e67r+8nU9Ao883RlJR8W75csFahQU/x1SpQDOmAQ4p+
kUVpp19IiFeDpNVt3/dtiRCf1NPIcR1yL5/GlY2ijEjAIaike31iYTMsR+QjYlfV0MVUFXcL/GA/
WDAdUQDzK7cDh+pnWobcZCZ0PeUIxGVhHmRAm0pmIOOU/Yx+iQMKPhuEa638endw2m2JjMv8lZqb
2+sUoFjyS4vLQFntaS/KdIwEP2xJML8HJLHvmg2hz9G/0cMeGMIaHQVgc7/MtXTr8N/ardiZJn6v
JrP8gtw23vRrvau8zmIDw2nrV1jzGB2fcMGutNqEVkhvMdYA44Gvo8o2zkJS9rjhDASq3S2FYB5S
8MZTSNVJ0vfNvWhIcx6ll1DrwqR+agcNEXkVuz+YcMCZPCCDlaebCtA+hvy3voqdG3vjtOpQbLJ1
ta8YnkE+l5D89CEVGvVyXGjzA5oqLgrf1qvBAJ8lT5MIxA6eiTe8VA7PO1zWa/sO+Aw82TgZkpZf
iYtnxrhDQaqI7EXokE6VrNO4K2rWCwe9ZidYu5H/GPNtgCudu0A7AHdUBUOpattOcOBC/b2dGgHv
1hFwKpAlvooRV9J/D0GiBcXoAbCgCJKYBn0rOn4HjgaCTlnRliMyt001oBaux4qRsI81a8mQ41nf
vaex4MSc2TLFy/JdcI0bGtGokX4sDl6z33ckjkLE8aBrSQ0tqA3lZ7eGSKWDpnoJAee/Kw9Jrwlw
FhabtfyDTj4Q6KEh5PtqEYWGaTjaT1bHzXFFzuZG0X3/0dLQXzOgTTZv0LqADBkMflsOX90LiMlb
CnVjp69ItaJ/TicWNDc8kuRNDNECsSML9yeJRMenxFoIIx7HAPp2mIOX1O2+aOYku2ehblE6R4Aa
51D1BhBqQ2Ox7jQzPaMSD9eMXyQ2nx03TYtOu2WG4NrO/FmiYUcWcoQGmSvB3HBgXd37kq3jAo0g
luTaqKH5PQH0SPN16L9q8JTa0kfI1ugLxT4WRXeTcz2KSmtkv4CIdEZnFM/4uY1+yoy4Bj+4O4rs
RVjr9WGH6bRi3eSLTzFTw1G55QAkOzxZ1l2YZ5TaOdRfohcP14BMVgFxPwAlhc5IRE/PG0oGyOO4
QaBBI+GodEkSDqtf8qi/pnZI1Y1xX7GbZO/ob3ify/JBIdENt+heVUGJE1jjZFKZb8ttgf799ZPb
XqitiX7VqBlYigjpcqRtKUdEsRzAKwrIXo6I8+TR4fHKdxewCoiw6Z7dNhtbKtGR7oQ6v5rDvMcp
Twsdo63wLnPhhq8deQbxwzM2RRVZTMZOFtlrdCACt5hZioMLNKs5jHE8kz+DxDH2V7sAOaIvEnJ3
OYNxdahWSTVLb7PWie3TZSuRdwiccOi6EcTkK4wVO14FAfl5bjK0usaVxmyBso6dgLU4NAvydjeo
EkKOle21rW/Dman6lx2DMSsbt6I7du1iDUKPCfyiYePFclqF/2J69VpH7MOvzqtLLedNPiQI/e/I
/GeA2cw0OHIR/TYPBdlw7Z7UEAz8MIAjVwUuU4tg2M5b+n0ie4iGiyHBKIwLOV5f0rkz8MTieIHn
jiKEIXnPFkoBywRriOpKL1AFi47No0HMdMMpIbcw14JA1kVxy9iWgAQBD6UD9smTUciPnPGZS19s
BG03BQeb5e47HDzqpgHe8CfAGH1NV5H8ADxCEpB3m2wPFC074TFKkfOuFtOasNhhJOyFjXkdQ0VN
2hQf2mzv+nQKIvRuUtIXlsd1fRvgjaE3N4jolqcYtdd87NFOhjOh9YcYZgsudeS0WVFHy5zeu8Tj
NqcpYmAVZCE1YFrzdYTnOxiRCmsz+USfhMQEj8oMzN8SlTYV94gY53CwpIAwC1UCM8js1BEDAhuh
2iF8mAvUvvZ5j+fmC8ta1MngVh2eLcM0fQCfDsJlXCClF3AtAWD2Sds99ePWfJoQxbgFEn1f3NXK
gBL2AnwD6odiwCxoMK2RUYUWlU8Dh+IzZpqnF9rU+IjHhDSvAZoq+sLzWpLCRWOHhGbsJUaVQZLm
IfJj7c8mtu36FT8HOcgWNYAFaMQGEXAJOnPKFtsnhTTdDp/Ue2muwO/AGVuVDuGNzOym8OGNcCtn
nwC47CxdghIgCRSRpOEyBsm7pw3Eqc6okniUGxeOjRJ9Qv1m0C0B/z0pl65BrIdM2fJ7Dr6Kavap
sX/qvoWfOQgzdL9Qu8s29AzUAZYLpMP6vdxBoNu9gB06px7hRsdHUCLId60DulaTns5ooHFZrMoE
hacxSnXXKBDVtkUuRM+pSZL7FGe+uOzGdeNdMuq1e03iZfWiMGPUoTN8xPDPnjF6dhEGhLHXbv+/
UBf+zyI7/882Zfr//Jd6/rEtk2On/q/lg3/6B1y+ujK//ve/xXX+J3Vn1hynlnbpX0QFbNgMt5Cz
UqnZkn1DSLbFPM/8+n7wqa/LSrmkcHffdEXUuajyMQls9vC+az3L/JftiF+GGNw3gNWoFv1j1xFU
FZhOieXBILKUqv7j2NE16gqalDZ2Hdy4juRf+rdhB+48BHCNMgSycgk67a+4829LZZDQ+DtMwzbI
DgIig57qbeXAVqZCq7HoeoNtIK3Td1mRHkpW9bjCrpM2myq6/+3B/KHc+LYK+O8rOmCYuSqBFeYZ
wLxEgB7WyPm8xLIvdLXYZn70zyj8r0g97S3h7X+uYUqp2uyd/yHA/eYCpbWNC8SxA69cxXt2LikQ
slf/EO0i92p0f3Knbmd+r90DB5H9x7enLVDG/xT/fl3bxnrKO5NUInlBb5/oBD4HCovP+YX9G54T
etKhWV6UZgkTnXaUespEQbPg9W+vC5WJUSZVEkCo5dpntit6hVOIBzNAk8g+wy+2CoZeIHUXpr6W
egCmicJ6Kre2+U8803992ssQeXPDyLuWeutSQuZ1/sLt/fawAdDTqJ9E4hUGwjl8i5wjrHKd9v09
SjXq4pr/7yLmf73ku1HLJXGZCR4xvQBhnI2hqGd/EnRcsimnl2YcIZTFVDywZFz3qvVQO4ZzCw85
+aSA/YfLOlwTMKKU0DHP2fvq2FdWAVPJK+YgxuqhiZcEd9HaH5P9kAz0QQ/GYCnfP36z7z4Ym403
lj3doFLvvHuxiKWoSU1BDIiaXR0K5jZ9nFI7GzcfX2cpv5+9RwaQ4GCr42W29LOpwAyQHTZVHns+
FRnOChvKe26h5heA+D95kG9d2nwjtlQ1XZpgjyiQ6udDBiKAbskKEUFutW40n0bBZDN/cpH3z225
CI4CnQLtMg28/RDLOU0LTcE4SA9tE7Wos5th7NcfP7Q/3omkLqPjugQpeXaRbMwox/XUIlG0+xul
57QxzuhrY1TSf38lgywJ0kYsCUD57EpB7LCn7CaGQajS5CeaoECYbiuf3NCfnpohJUuVsYBJl4Xn
924QxAbbECUSy0CE95as76q0/OQS2h+vwVfEZpRXg5P17TVouQORGHkzJJ0gjPZ1cZ36OBz7urib
1Qyzy+AkOEPQp+mKgwPFQU4m8k69FTXwPG9sKc2M7Oo++WF/+F18ZDxem3nFfPeIR5Qv7N5xpSUz
HA63RZK6yQrbv/3rNymAwBm0h2wdSN7Z7JUp+PybABHFLBGesUVvlNQ16vqT8f9+FbRpgC1xJUuj
wXTOV9pWRTvRcMD19HF4QTw/boI2vledVK7UBNGQUIufjlWYXyU1G6g3ZoTGn4rrIZIqCLKginZG
PMp9ZbDptjr9te302h1SPeSc16k/Pn4qy0t/O/1IOma2cPiWIOvpZwOPJA0jxSvHU5nu0vGH5Z9S
T9xM+sPHlzlrzv2ae3SaJZyoNRzUfLZvB5/mzD3qXR0vSW8eurIfNqjyiDIofJwEOXV8bHkNFR13
EiPOB32sKQrgvagVSIaTAkxgjdP4k7n3/crC1pBe0LLps3Fqnw+JcqFq0PTwoEV5Ni3m69Hpn5N2
18l9C3Vth+lL8T5+EvIPDxzI8tK+Yo/pvJuElSxnVdHwYBr0SAebummUH/yiPXx8nfOvymQTxOck
lpVTIzfn7MXGmiI0RH+xB7ZVuXJC3V91eA0/ucr56nV+leVX/LYLmRPIewD1+HYhCCFaCYDWgn67
QMhSrYG0dZ+8sfOnd3695f//7Xoh1KCg77krWV8a2sWMpuNv54lfl1ho5xaufQgjZyPVLNSubh0u
4aRHE21FZkdugR7w49fzLnmKy9D5N/keaMpL1pe3dyIS6rpxTmmOII3h2OiKibinHL/2KOlOuHGb
56ZpKGTPYDKpqTUas9ZcdHPzyQ85nwB+/Q4g52QoaXyX57c7phOGFEokXtCEgLZkjcS2Y15S5boV
ar/GO/zJmPm1Zv4+5/xzSZ1Nuu2oAs7621u35YDANe8TPL7duDXKzL/JaLa40NUwLsFRvgOlKFdT
4pNqo9Orwa++QdlznWhB6anxCaTzTod9qJnVPWK308ev5g9jjCq2zfzN8Ywi19kYkzNOgYiWpkdr
s/kOBTTZFA7KceEjafnk6X92reX7+m08Y5gpIOcyLU5VREFL/2FOzmaMik9uaRmz7574b7d09sSR
8Q8hjR6E74FDSTYvD0nke4NpXE1OdDsJrDht0T0juUtXHz/MP0xDBh16Ts7s1di7n12ZknsrsU0v
HkIFEE5tJhe1sD+b7N5/TSwr2FiJhLOW2zwXubA4qm0QLX6vDKVflGW7iWOfCw/Zo6dB1zN4oLm1
c/z80HfhNnXCTyamdwdQtu4CgRKBELAoLRzHb98kMnyK27YBZzYIflitcUr19E5F/eVCx7rS6vZe
7QRcAd0Vtb//+CG/G0Vn1z4bsW3RO2rS4Oit9e9Dn7q0MrCG2J+M1TPgkiXOb/FssGqgIquBMoIH
Q5wWVbezlOi5pcTimqI8YLpZUzjeV2m3R8pGpS9fZIvNZzqfdxPWcrOWTXWSA80SlvP2QUMDb9So
4VW3SXwNUvUQKcpa0eI7PfXXUDj+eoLkess8YLM9UqnanD1c/KUTsSYSphBQBqaM7TgCAGZMmXIz
9sX/yUOGGcPdEfIiOEi9vb0QlkXTBLxLIJA7nM6HUPY3tDAPiLdutNi5LM2a3tdsHcvIF0DZbYHc
7bM5+nxntLxqC700/6SLJs53Rrgmh25Av4yKkyyEewT/zFFYK60rJamM+kuud0N5lxp6UW2w+5b/
zj/8r6WGd9MGB2GbWptgY0Zwzbk6LqcbNWPEqDgTDEeeMk5VM/zLCspy2GYBWtIP5JLSfbYC43uh
Ez+quHrHlDgryshleG23zq2pFk+0YD7Z+P3xln67nHj7Yock1OcwiGsvBtGB1rU6jH139/FEsHyB
b+b5s1s62/RBEMWKrs3gZy0kP3jPVkNurUGzGMuc8MkNLeFB59fjYKyzeaH0hWtenn8bvlTsMM1C
UuDMCp1GMwltJTtNqV+7GVcsCH24NDTClcRfOyBy7gqOntJtzU6CWJtpKNFTR9ZremBfyys78Om+
hXSU01MUa7l1oOMUg+lo0SveidkaT+mgKU9gD6wLfab59K3BsxCuzNYoroADUwmLAN+HLspcGlBa
Y3e7pK7g7llTRtymHYkrX+3r5MHRZtx8CtL14zA6txZm8nVjKdYDSSXZzSDCwT5Gohns3YRS5yu9
mqbYNkNT3NSw+T1Na0yi8gAFflEH0bMlme3pCm1Lth9NvJtIxP3XiIX1CQlTeSkKzTrh9sQ8lrRo
pJLkVcoGi1KTjOBsyl6jBU66QlDBY0Be3daGmqynFO/fdhIcEZccLoEGN9c5IYEieQY/WG8igooO
OdVm0BZSDSl+YjN7UksH40Lj50dfmAGQDruc60MPd+c6aeNNKtrwYsDWeED02G/SBLSwqGrzUVWS
ud7JSVOPqpYbNw7K9NUUz3dmUrSnioTV/TCHjVgltb1pAB36VZz7e61xLM9f8h8HGNntjtyyAk2E
TKfMA5M3bPrOaFeZHlm42Ftx3fpJ2a2BxOmbjje60iZl7u4CPxcPssW0SEkqKuVqxM2X7YFxzBda
UoLyxffAg8vWCJO6yMUvPdKMpwE1ZNNhMPBD42B10bRU26wED2QWafNawyZZT319qTWBQOA1r0J1
qq6zscxowHL+H1M8Iiaq+SIkCdFVw5x2f5VtSzkdhDpABk8N80eZTQgCzDxwk3hOV2iizDX5OGXj
CSPQT1W2aHbgXi5ezfZqRDShXTrV/CLVeUYGlOuYaIKU52zkZuHS7zroTv6q0y5jN2tfE/g3cQRt
vQCLhDuA2oc2ohqPmJReLD0yv8aI9I8aYNq1ny8/MErKfV+Y5T4iFE7zaK7vRSle6QfW+OKHEJ1L
Eq1L8kCRxyA+Tx7iMcABUxZ7G1cAFVvj1g9/OlODagpaoPI0yuJqKnjHTExIMib9ftYB5A7zVB6s
MiOZaFKUXYYO+lAvC74y+/ZFyR8lbK4TV5FDJN5cFOAbcEyt81HVNjjXrkxWOg+8sbYbMs72QJbS
sVojjrzHTNHTvgPhQKbuUvbC8FIRTvkthxHtNiAEsRxW33UVX34VpeUl6pP5wNYpuUr5wn7QYKM7
rZuhcfDrb3MaX1CY0wYUTnngPFnjRPpndpW280Mmn0p/PXTa8IB2QM1vhB2OxdoeOsgeAGt3YePg
51CSPLkb4EGQbqdV4q7D/D0Luo12t0JZv7LT8OssxHOgMMxGEDWQnpZsTJG09wmlrYsmbtIHQJHR
SqtQqFMjD5NDy9RW9VHodgr8ZcUU35tIMTdR1Tj7LGBWWAfIudREQ+dvrIO0pW86/JIR/aQRegFy
5ICrcTNM5XpuGz6gBKygjQRs3acSZY0qZgwmWpF5dlt8Cfq0XJlCA2Qxta42xPU6ypqMk6zNvz/M
WyMMdwZpGvmMhCAzXEN1vslObKYYyyULRDpHmx60BKK8R8DRKyAtXC5epVra/ugQXBUcUnaNhokM
Coc5druy28XIBzRZoPsBZd37KxYCF9v6APWiNPXHatDGVZ43T8xjKwenKsjqKThw2K05Zc6vpt2C
pEZBWKbWF0iN/QmJIsYP5DJuNRO2tiGXXXvRVKJse1NcKYyLg1Eb8yVNdDCJEbYg4eIvBz0edM33
Jq6+w3i+mdU03dkxmSJuS7/7Cnu8v+6VWMOUndt3mLltxpkRXsXdjErWHuZ502Gsvx0TbIkrWy9h
N09CvQaClHrGZCQvyASAlk0+UaVajOSqN7+oOYEAM7Z4IwehEypfcmk8xUXvlbiU3cC2r01iK9dW
o+8CvNbXMukrGAkE4joOVt8pVwb0gtVYMZ5AwCPmqbQ6O9Sw8m8yQj2wnfk1RC6nQnhnsT7Mqf8I
gQcHOJbrdJ3l1TAefA42W6cPsOTwefuz0r0aWYkhC0v6FN5jSJ6u0RyMW0XJlGNgYiOCrYYlFBtx
qKwme4agDJP6MjXEgU8uOALvxQBR08trqHeH8egOrY28SANj342Paj+a5YGGgrHu+sH/7lgTDXN/
VGE8SXmd6lnJiT1D5ZOUcA2Kacu2dqWMIOZ0bWUn08E2pJvW5brNc09EhI/2Uwiaohl3EUrw1nVQ
WFL+6+zCw+WlPsZpXhgHIDq1cdsEuv4TFhBbnBK8O3vYtVqbl7oaXlIi2TZ+s54tbDQBdrNT1IOF
oqRXOqZHcFCxB81ZY5hcAkzJI4JeMtXdARTaIF3gb7AcBjt+soNwSnFtj4imDYkLMqSx79ZE0qR8
0Hyi0q9Eva8lYm69/gJQXB6APeogDNDmeTbMAediDCTSAioUhOqiHyLWGD0m1A7MhKZhuoCpduFA
dKvddwU3WFbtw0zmGzWnRUbgNbaZrx1IMjs/6MhPHbTvgarn3xEs9I1XaOUTM9UzRWiwbllL5o9D
wMVNIJRhN5tZdUrRXFkrtMlj5JH+pJ8UPYUQoQXjVKNUBIeyqieMpWNsF2hRNR9Rx6gUl6M1qatC
6vGDktTF4GZ9PO6QU5EYRCEB/Zcq62gnKgvEXx04wSlGr/ytwnOzBX5DeDBGKsB7orGRPA9arnWr
PnIq6ZFP9Ojkowc77akB1bjSU8UaXNGPx1Yoe4m1cLS14ltkyXabGhB0SlPRLJ7eMKzxHA6nzMym
azi4REurzqMet9VlaSm7MS8GUFahzLYWQDyPPxVcaaCtIs9iplZ0YH4abu4Zms5cbvAwPzQypttR
DaUKxsKJL9sMnkIcBMETubZsUKCWMYdm1a5s8xApkpy/GtN0IoLWjndmoO9Cm7RvPUD4bnNAuW4H
uz1iTo+/Y47PYf87g03JaLwh6XZr9cWFJtvqtggDRGkc1ldtaCQ7cNEhlPJhD40aIA05vmvEc1/r
uNuDmKxROiY3aLzu8zJvrhzfeoT4FrhBrm9mWTZLyKuk4U1xUkGMlz0FM0/lAlZDsi1ZHzzmNP/U
JIa1Q9p0BYL8DlZRscqmjv0h6B+VLCczu9W1vscNyLfkFmyBFXS+xm2MZ5dAYkU9GGRKXADvaZ7S
abwNUu1G98dHZdK3A0yuYIdY0PXTdg3wHChymQfmczLMOkylWtczN0Gbea2jG2b+3dfgJ64jwLs+
EnvFx5VMIsPLEObVYwtgCcGSoV5VTd56QzOX9yDHLyArZfWqGMrbKHL6FR7prZ602OeKMnmdQ3UL
T2B8KkuCGV1UXBEmQ+NLiIUR3oh4trroZ5bN4xE5a1CunUj6h9rqLokmHbYaqbfbAqLuJkyiLzrc
7hVy22w1oIV0/T4NXJi7ZKEX8ipIY7GVklgDo2c73kzRKVDVY1uLtTNrLGxWM9xVM/7IOBoBzSil
tYqL6NmsQ48UF+u1tkyKBagor7IO2miUrEvb3HA49Ux62UZXKNs2Zj+QQhg5Dpqe7/rC6TemHTY7
yCY567BdQyuyADkMTAOgvlCvmZkHgfx6Ihu9T7CeW6Q10cpJEGDJkTA1J+F8CxGbhRsOlOgvdNkX
MClr3PCjiXZfayFfFxR8oQpXqHNHNdsmejsFnsWh5HsX4MrHQSY8owqHb7XPTkhGwQvGewBoPs7J
ImxuHaf4RqAy8i01mLNjVddkgE0qwdrw15N93WkdFlw2WVgqxyunhs9nS1KMNrEDAIG8nz5ZRYka
0CCjXoi0O+zXpYa8EJHqzsBS71ljXVdEOPn5q9BDZV+PpbMGVR8bLJtW2K5jnVk1A6m6tqqoWIsE
8wOa1HitRc1LPtHwbP3oEa9/78ao2zdTVDGJJ2FfbtK6M3boq5MVjYyod4tk/JIbaMONQjkFY/Ja
iK6+wS2SpxvSJNIr0M2G2LVMo+AysMjMntZShlmZwE8D7I4if54Hx6kOnJr94KKfRZkfAZxNMySf
CvjDLpGRc4tiGIkGR8xgBJNm9ylU5zZLUMt19ejp2BQqGB2sme1lkrUWbSrS8tqVUyb8NohyiXlb
U73RN3Rcem0VTfiOxlFPxQHo36ReGxoGEo/0+WbY9UZmS7fGZrkKiV5ddwsi8hG+nkC2iFpt1cWK
02CppQFbtmBgEhgmGcYUVfdxbmR9tFURr1dbLdTi2tVJCXwGvkHUb4wIju2RVNMHCKFWuh7GaXqg
vp8Aniwn52cgEvgpvWGVxz7Ww2urSds7xwy6rx16unwJXA/HYwmm48Cf1JRvQ2AH2TYOa/tLSHDO
hBKbVPGXCNzENceOglm5jHUdvJJtDV/CTuRrP4iwAfgRlMovEFly/yoECWC7OISt6Bh3jRmcCn1S
5YrpicBINcNsAq3rCL9f26GEvh3yYt4rOfEWsLx/ktQ1eqAEkLpj12B9pfdd64cMjrDzWOR9111Q
jk5zoO+6s00S6Wwj9mPtbpwjmOCL1VkQdp6sWbx9k9HonCYEvpf04J8HLb7IFY0gg7wSDcgrlHEu
M1vyfaiD+iEi0emIbhNFJJ0ZpsFuiWIqWmN8iPChDP229O8V5y6K6kNkFhzEgYsxFZQmgkMb12tw
VfbhqQgRkxk/o6C6q+MN+kTTFuLI0Tw4sJr2q8DgFKtuNfVGJhyLx4CQDFy1Ollq4byS0guigQOb
0mgrH8wFS3AHFVdE9tGfZrva5K227m0MwBgumhOu8Qs9kusSJ61ePxrWt2mGlgaVcuPrU3EKolpP
b+pamP4O/ejQefPMuDu1oSxuSsLNrfmaCxZPg9DKzdDHWM3Y7gczjm7tcvYfF6yBWUIyupjIs1qF
saRCF9fkeMXGCwUP4EH9ZJCmVedHYPnHsFLby5ZTnWkvFMpNYw5tR6ZOHXnKiNI6Aarbwyn62dA1
6NxIzj5ZNrpd36ecBWTChzfRkOrrC/Jj9VtdaNWXQVQP5QVK5fpodUXKalnyt9exF3PeVlrjiDG6
TFWvyJsVQvY11JATxq4gZzrH17Qp/SHUNqma+FeRCYtbRF244sQe4zQC7KG8CCSxZo5xzEQhqjLJ
5nPnxnnpTXilW01bw+Mxmd3T0otQySI0X9Ye19LRuuIKz/bSmat0HdWQeWmrRQ4THBQMQoHM8GZS
M13ZkEoXtpeZVA6hEN+ceRq/W0GarAqBbNoNBgjUHgOSw42Vm895olB0ycnwcGvq8fnRBhlQb5Qx
JZGEbw7duigQK6VTcwqSyqegA5sAsJXKD2bjlkI9sAwk9OMFWCtcAlZefh0TdW/VeLPcyEC8vi4C
RvwJc+LkVl14XyEyK9eDZfxsDH2bWc0jlHCh7rKsDS1KVvhTLNqVJw2QOJRWWawTvpN79qTBbeuU
G5maBq6j0Jd7oVGCgg0AU2FqmnqTQm6yiY0i0e0eJ7yBGa3BlQ9ZYVgtaEk1aO9HMy/NF9Tf/jFO
yJYY5ohgLFZmT8xysQ1lDfNdvgmt3Ff2nVQuFwDKpgjrw1D0p76elsqbc+iUsjx1qrHOi4WB0dlN
Aoth7ssAY77UAjReWKIISYK8crQWB9CqDXDplXMuL8uqxvfBtuFZ82HmeRM7bdJAM0E9IUFxRzFh
VDCGpONVnyfMinY0cw6zitc0DdP4Jrdn9c7x6Qt5WgNDG/ao8lgkcXiErKjmV0muTuzyWhDcOAkJ
SXFr2IGKa/k1nsZeNupRR2Jlr30fwh27hZBRlgLgSXo2uJuE6kUBOzXJ74EiQjwKzfCxCPU4Pzah
KBTPTtIK4BhOyOFq8vsg3s5isqaDVgb3bJ8mZe3gegCnNI7GKxkZ2bBuEs6HvSLiVUfBdO/kov3u
Aw2+b1j0f4C3SpQt5ITsZk4t0BxK74NKK2GJuQIE6zLVZIhmZ7QkYZBuHTkF35OhVS8cLQ52/ox3
wPOTttBNN0UJs7dtGwW4TRa3vWBFR8wZ1K7LTN6WrUUqLZum2WG9c4uu5DT6FYiCwclLMUYg1tSV
LeZ4LIMBKiBtE/ozfwV9Wxii3XY2QTtuw7KkMCDzKLxmD2U8UBO/1ps53yWZrkPla+TVmHEw0jpd
AW1NzuIhaNMUUBoji7qEViDkV3vb4HwGF2uN34sq/G4k23fwEzepxVwpz8SzKp6iGj6Buf04EBTh
MgNMu7/rKjD8fimaTOyx6Kass5aUJow5hINUe01bA4TvqK5nnunc++Ptxxc67zotF6KpZ2qmUAlH
MM4ajAJ6lWOQ6EPWedp6VixKL9PixyQEPxIsPpeQg4HsjeKTTsZ5a+bXdSV6cdrUKhz+5Xf91oUP
EYQHSorarc+ydAt6LjllU1F+ons4b1wuV5Ho2/BvWJJ/nD3GoMUZHaY8Rphnnp5rXpCJajNb9ibP
YDoCi8w/aSae94V/XXHpXVqwJpDYnXW4MIdNeDrpJebZlTJdOI3hmaH85CLnPaflIjRGibKg7464
8OzhsbMEuB4tUsEIUlbEqWvtYD6zWNM+Hh1/uhAJQw59URgT0I3evqUyFUYmFiGGQQ05UPxtnCf1
Keny6jYC0PnXF5MIFuiBahrSy3O9WjyS6WqnLRfrOR2y9WCf3RTkBILh+/hK77QLPEBJXxl6BY8Q
8cDZA1QxyAZIzBl9T85V7m/M+sHP1iWLQ15TL482ttyb2mdj/g9Pk0mOW0TqhCvg/Aaj2gkCGOXk
lzZhTsR4pT6CtB28PAFQ6Rex8skD/cM3hiASs4MpOVQg/Xn79kKKtDVUmSUxjyxQFqjG7Qxt/fGz
/PNFTLKJURoKklDeXkSq7BdwwkN51JaIrwqurR4a0ydv7A+PzsFyqC5CUnNRTr29SkeHFZ4njy63
r7L+Nh9+GCEIxC8f38uvD+f3Zi7jgsswC+JGwSF03lwFhpMlZTwCnUpplcXJF7Jqn1n90O2kB/IH
rhH1bHQ1LTAk+65V2zsMdEdB1i6lpweR85gJEpw8p3CuraH5+6+RDxHBKO1zC6nh2dwStllTLcRh
6k9atitzSvYE/uX7GpWOp6Mz2n38OJZX9/ZpEOCMUtNisKJhlmezpzZAiBIlX4ndxFsnmLzUtk9x
jUu9m3bD1G6msH5pk/Tp48u+f9cEGaPmXewOfPHybERFrP7gSGs+/DLbsnIAUgZB1Ji3fmt/Mnj/
eClDYnLgq3R+pQX9vgpBiAIFtFQqyKKgG+mqSwhIzTH7k3Vo+dLePkkWBJShLHSQU3h7b4dvTrvL
aUrmUb2KV7RpV21X0l+eydAJV5j7lx3yJ1/MO/mvxcYB0MKi2ZFId5yzr98eTOx9Fit7pxlwBEeN
CEgNN3bU0SpXHxot+doUzS6gr1GpnFcTqnZ6exvH9DI/fqHv7p5ANQsROAJ4gd75fBXpFY0Mg0X1
ISPuVr8p4KTQKnT1mmNauss/M828G7fL9SSzBDYSUtX1s3Er6XOB4RZ0DdbpdXsxuxDUvOmx3X58
W+82F1xmmV0X4bmjO9bZ55ibFBBMzg0e5fDcxeZhQcCcbkup3LMJhVAp+tX/3RXF22Hk5LqdCZp4
npn+qFNcBSnxyDpNCKXdxNmnq+TynH4btcgHAaCxYOHyspf5/WwEIVWqWjJcuMGiOwAVPenkJJSc
USmPFMFOzM4mKJUNLMB/Bsz/a3TT/0dhaItJ7b+bKrfhc/78uwdz+eP/BjL9S3P4ZlSVTDPksdTP
/8dUqej/4pXYGuoi9FqmBdLsP0Qm7V/so2Bi8h9TU9EL/W9XpfEv+E02uiKoBhwuiHL6GyITuuk3
gwToGNoD/sveWvJLcZS8HZOUsvo0hBZUFjZRQaXK0g9jSHixpkfKQw0L8pg1LLqEe48l9bJGpdk2
0ZoCj8iGf5+FVNhWLe51OO2lqn8l4SSOdzW98uqArorTVgyWBzbMVCWc2H1yD65pLksiIpXZAVlM
cunIDNpGcY4igE7AcQrQ9hLzniT9hd+LNGLUdoQuhgWxS51T8rfpeRyr+9S0nP6gBxLaMv9Le0/6
rHYThqZOtGqr/hQmZ8qjMrWd5vnVCK7HAan0iN+/U6FIgBO+ECFNkR3JBY18Tqd5Uk9zRfWZOPqe
WAQzKLNyNWp6R/Sx0PpXu1atau3EUa/ukcPRoyYrHnKJVeCacDNKKUvx3iBWlzirfmU5tbEtrb7v
1vZMqBKdFpwbu5gNZLCGGVEiR9Q6XP6CzvhxjAaAOBLOzs9cy5ULKXMTVEuqT5x+nJiTu6XO8sGm
7QzbtgH1W1AtA6pT9k4Bt7gaVezgYfUN+332rMaCArkNCnob+PBeXBlM2S35LTPFU+S8ZJnTUHvA
cB3/NAKkFSulKKNLUnOzG8sqgfqoswoVLlJlWB/HmUj0TZBP/s8OgpPCJthUHhS/hbwVpbZKRMag
1owbkVpyGyKMkR6p1vVWMQkB3hAd71drRGftixEbvsqcFFt39LkIF1MjAVvcB6xC8hQpIxmt6Mzy
d/3EouwCcmhXcgkYcUmIZ8OS6Wi1Zt4LvRJHSb7SI8i+MYeHixymVRW3iibd6+kCDG6uhiHF7wDT
m5vnNIcoIw97SJbDRN6RNDqaKLlyJWRNHQQVUqiSwBfHFwNVQJp5ahiF+6Q0kCCbfcdPjZWGp6eF
S/JJ1RUIh822SRSPwk6GKIHcY1AeTvyi9xHU6wAJ9k+QiwY0ZinaF9Of8qdaX7pXZKCHdM3U0E/W
IxifCxxdxQukE6hWbR4VN2pkx5an0Pn+CQMXeKldB+kajvhYeuTGjgQS9XbdUw0Nsh8KFZgJOYBF
dTxKiQDw8LMizPONZHRTwkpCSjnIXYhxaLXHVFrpqTD0meYaJLOcjnQOc7nwu+SurBvZuxBFi3Kr
d/6FSWnrBeZKEnpA9v0nNQ4Gc2W3sJ1pgpcRfmwoTq+q2sQ50QGhtZBzDFqXtLVFTIc0Rjs+qFH9
Y6nX8+ucuoedNqU+h7ekbYmiJVMHda7ZBWjPAMx7AaHLFOxmeNWMvaY6+mTjqttAd+ZwP0SJj5u2
wkTDx+n0EwlmwiFQp+7rO+RUtGlp/wl74/cGQvKqNdtkbSSzPyEii36kMd1bt4a1VmzqtrRTMC8G
2PolHMEdUH0eNGPIXynU+r2Hvkn88C09Tu6i0BpeLSsaXimTN5YbJkoxELdoYAnvclt7smkZP8kO
kLlXJ6QG1FHdy/WgWuk3Q8bFtVnUZP3NdDJeI5gbFPln4TyTtUE+mYUdaEG+G86lGfjBT70xyvHW
LwXPxWRIpjTNIdtmoEOoWQYgY32F17IX+GH2dVaXdN0H6SwIOqnclDjXpi8BWJQnWiJqv5r72vQy
Fn3kEbRWoLlaVK29tnXCCFn/OFKvzpBI37aoyKevQHgR2uLFsvbMGn5EJ8XqibkqCh0qC7EHBK1w
zj/pVgcqREl9+zVpWm4u71pJDFQ765cacJ5+S+nbedHEYOebwAzJFnHqob7SSEIEuevE+cYPSzbt
/D4du5AeMqcBxbDw2ZIyxuqitNf27Ae6RwBBQ6ldtrRHk26c0ApQ1B13Td2X1KFHy7yXBbh9ryeZ
/CrqfXQEOiKg25wSleXOdSXnNcxvNF94bY2bMs6X7m8khYAOjhKDznpD4ktkq2A7UgLh+V4GkWVe
nONCgE1OkI1tIgtwJ4JqTyn5SL/ee3HsTLuJGEpZ9YPFgCDMSJNBxtOKk4kJF+CGJ5ho5o3UyCZc
lyaTGs0nKwDNNdVU5h3En3zReqSRiqc1sfUksFEzS1pgAS+nDG3iPmB8DnvKqDOfW5EBeE0qCyJW
k1fGl8pXRLnu4gGI3mBM/aMlCA+k1K2m9ibRNFIVqYDG380hQj0HKo7PDUz/2GhfkBvFmFSzIkJg
nCK2vikB4CJkYYEBPhX17eMcT+OwzQhOHAIXlIAyIuIb/NLV1aA/0sFgWtb1IPwGqBceCkwBcRO0
w/QKrjGjFBQSJwigfa6ybwFc2Z2m1VF3QpqrJU8jP0u/TwG2JYwKVeorMiM7kgQCW/9ZlaN0rUGa
W/Bt8Y05ExKE4kx2DVoo45g9Qg8wStojWncPDZ9JRWdIRMeaObdcOfCZaEa1NnqJQpvHVz/V+elG
jByXh+1DiwE9RAA5R2Of4BGwgY+FGqQvDcIVNQXnSMckv67bGj5jRQLOnR9WpXJUStjHHH7s/KkK
IFIh7usD2l0rWH/d8BqLefrq6IRoZEFW5NuhMsz/xd559daNpV36rwz6ngVuZgKDD5hDnqQsS7Yl
3xBy4mYmN9Mmf/08tN09JVcw6nbQBTQaVQ48h2J4w1rPugLfaoONq2HXcFBY09/HCv+o2v7/E2WC
2fPvyu7LL/Xyquz+9vu/190O8BFgpg4VAgZxamW6v+8wE9vmVxirbVX5v4klP0Co7m/mtxafyVHo
mz76of+U3cZWd0Os4L+bKM2YMYX/pO7+ubu3GVpgbMD3bMFVJUXkp4lCIo1sqWrxkRQ3smieNIUQ
mCwbtcf8hGAOdwjLKKJpjWnMUR0viNhrdGDGVdIY7N5GJ1iN8EgLPaI7KRLUFM+/O5V339vEv4Yt
403gAwbe9j/fN71vzcnvRytW6jdtUoyftWSQugfgQ9aZW8GLJAdrbP1f9OKvp5AsjYAfg3MAgMBe
Fw7CT10I0QJKObg7EX2LNHb6tXzX6qK9//vv9GdHsc0A9AjvQJgBP510KbElSYswWvoLzlqV9+ey
9qdfOAdfj0u+fxcIsNjDfeAqQHhfd1SB2SBAtJATtaLKD7yhzJtQy/FUg8a6RDsa7k3ZfnH6dPnF
13vdyv04MINxBhoWjePPfjqS6KZ+dhpAUjMLPbbD81mRi3kQ6JT+0Sjzx6GYSzFCcYT7DTP8+6tj
rXXrdjR3O1fkdTQObCbl2r3MIPlMuxLf5wl/aW36wxcDJcG9vbG/AwDGPw/Cwyojys4kbRS6yPvB
6cx94JDR7IkfVKi/PNB2Afy/iQlfi16cQ2BiZRy07Z5e/+hys6Ac7IgXTYSAiofdaV87s7PvPKjt
LuqBSzS2y+0/vCqZAZh4qgJgJkzZQvv1QRNn2mIhAJkWs/LpfWDSfRUj4Xm/OIt/uPq347B2cjfg
uI9/+fVxEB6gCie5aLcS/vhE/k6zS7M2//j330a8nsl+O4ffbNE21miTf/3pMG6eL9aAYYCXLfoR
2dJG5eHkHLO0eESreA3TMi5z59irhPgjdeJyORUs81azuV5CgGtCNUQ1rHd//7n+7NtvaylqOtMO
YFn99O0zt24IzEXis7r1WbhIzYsJmt3fH+VPrlSi5F2M4XxzgNo//Sxh5lbB5HCOq1nNmy2i0QDV
e0q3iC4eKeTfH+7PzrXFqs2DQsPr5GcUhROSwRnkwJeNPCUX2Qk+iCm4JDbmApVH+otn9J8fzAMh
jtMx4Bu+PoNU5syssI7tZvaXp2o1h3tysBFlF4Zt7UH1db+6lP54O1rchcK3eVFu1K+fjkjyaK5m
we04hXN3k8vgCQLfRUg6eYSPgfHE0RieMhCjGosV1rg1tosFFWbXQVhmeuOkfNqlzt+BJ/0VtOSP
15PFgNW1PJcf90YkeH02vO29yWfGpgLfCWUKM3GLVJHz3/+A/3g9cRSHswA6nd3chmT7/XNWJBka
Vo+IOBy83nKpW4nyccrLZGamkzH6+fvD/bRY3W5ejgckix8vTwNO/Ovj2XNidrVLf8YEvidMZfIQ
xzarLL4ig3LAbdqovaEo53lkKNAw+84OjPcmkrIgRqDU/CLx4c9OMkKxreBi+YDA//XHGcY6DSrF
168If+xP6PxHfUKBjA3h77/4rw70U2XQMKVwZ8mBYB6WJ2Jf5Z5O5VdPhz9UBpzdbduwzW9ZJjk/
XTPWMFuON3F263qSIla1bWqcNrb3btb5mJ3IxZqXswMVUWPDAKL+i2/5Z1fTRvBjeuxuD6effrqN
KP0FIjrvUd9gfsTz8FCl/qaPnYzT359Qextsv36Xbm8BfmZoXTgm//L6Z2fC56gRr+Yozua+O5WY
CVCCK1LSeDiSFR6PWRA+Wo6uvB2aKX+KLJwjKW8nBtWfRSKCt0Bpa0Ld7bme2LExokZ8t2uMKWg+
Ut939SclcXnckJIxbnMKKW1sVO0M8QLTIdnYQwsO88JAyo3azyzmDaxlkYeJprQkzJnluvlG6owX
Tz13vUK8OyCXRs3SspDHiTQXBl5LF6FZ0pjrjQRY7URjzmeC0j6p4RCyzSWUTHvDFM9KI74jEc6I
2jHPPqdGivQYb17qXdpNSKBLIBDk8RGGojj2YWtD9a/qxttZ9mJPZMc0iYoHUw/VUYWB6i64z90P
FER2dVWoUkF+9Xx80OwaXX/ZOTaeGg87pk+2jpwqWgosN4wt5+Ra9UwYynuc8ThfL82GuWn+nLc1
ydJgkWQxMf2Q1QR0dwmFNmQkldoCrrZIrvHsN8nw4jBLvSNMLLv3g5YNet9XzRTnyjTDqMucdokL
SM4PCKu79GjmrelHY1sXH6ahqj4rtWHA7aIQW9y2j/YJx1N4V2AGe86qXPD2JwoQrwB3W3ZhSVSh
Z1EqguwDrTIvzjQhOrEzh5O88BI7e54Mz1SXjIcCISOCr2ymh9SB6smcHTT4OYzi594umbHHwHNJ
M+WV4RqcYMkWIplT4k2Q6hnOXUoXjiayUgxgSmYHiOdanXtxHiTlEZ0orp68HhbmG7CvXrqiwqWJ
HQWjRFMYQuItKrP2Eg388s4hr27E0etUUzzqxDnBoVLJLiXCDSiLaOaOW7yosH62diswlgZeg19G
jvqNVHVWRYZYgtscAjy2NZ84m7XAns0oz0l1H6vZatEp+DMB2te53xjA80lqVkBfcoCRPQdmULXJ
PWdFyK4IYcxCnL43mnIyomWT3PY90NuYekj4j7W9avPNDASuJ0xulOGxdcQKYT0c0ql+p3U/xq1I
B/OBKYqn9oHFpJxtCRuW9MJB1l8Hl/Xk4TQ957yqsjMdTe2dKkORRjvLsayOeKLMOyy9+UemnIO8
bjTD3rieyi3owiiDGyn6khUGTQKGHCi6ecSjv4OXna51S47PnBgwfHv5xWU8jAtG9jrcl+xpgTBr
FJZxbuViC9dwMEzh9LCTHc8HL0FjiSA6wsJtjgfZMSlCE1xrqNMk5vFXolKYd3mTc+rGTpAXaNna
0XE7Myg/4aW0nM14tV7lhu7Z0BCeIhHfh64iLCzsb+nlmnDf+mQygdllurvrfMEF0TMvuvKQciU7
HLQEyyXAcguGcvasaS4z/OmJJA068nQWkNWUDesLUC/3PfwgZs4aMeo5S23Liqe6zYtYmEb7LOd5
Dp8LdlD9eyfBfBcPVlJ86spAcBesyrOOXurU4WWjsJtdBMyn/D3quUpB1+hpoIF/24TBD6U4dC2p
uzs71B3bFc/MP8kAtvYRZ7Z5sug66n2bKyQvnV+QXMJZYijaw4buDlQBRNBLBivezueGXjDEQO3c
BXlf2ejms+6mFyTm4nDLvzYDGR+b6h5+KamD+DRlJaonKOcr1uzKaiUSsJqnhC3tXu6ZkU8sBiAD
FZExNDhuMJK7b9KxLr2o9Gxyyr2VNELskznYgGlJJfTyEknzw8AqyRJRUA2dc7QsWbf4yQZw9Ye+
UKZCz1tCPphnnd0asKrTKOU+W4t3sxemQXGi6KeIxRs9qs2HrXx7HIYvfp646rmSLWYzHG9KSAa3
i+IOG6nlxzs9pdaZtU+DyyIXW6yrW+cxcoGiuJCNC5AdH4pe9ixtyGWJFHxHQ4OVqWbPjWlE5tQ5
hmSWFd332vC/c79/URf99bL9/5TpF5W9mvvx+39s2zfk8CYC2ySxrs8E5t9TPyP4DU4480CEYdTs
YqMR/zv/yPZ/Y1jCRG9LF2M0tFXZPxjGIvgtRH/KKnjrQDb22D+Z+jEfeVUU+ZYforRDXYqyhSoQ
gt7roihLZaJQfF40s9HRDyuzd5zrydR4nPFtLBaXbky6Bn7mHTYiitFjimhcs1nk6xrEJISzMdg3
bHjM54oxj02LXXktQ3F/6u202gJ/SGXehw7epm5nArav1AvvHFwrvp9uM5RqXLLZ+gAfvZvqZ0kO
MZMGbcAQ1LtVutJ562eEkWFgz0b9YPe1y56yGt0p1uvsTuyxeVnt2qDuLgdpEWXEM3mSBwIf1oel
IA4ptkOZ3nhQO7JIgJ+gO2Kws0ZTM8nPqR2Ad29Y3sszsXZGeyXIBvB4m1u8HFfAJpRcmiylkx/U
Cc8mshBYg9SGURqR49Rulz87RI9q9pHQmb2Tb41e/s5pLPZyoHz9WTwY7aKDI9saO73uxmp+LEk9
77eYJYT/HRF95l4ONRABfuqeecDm4tHPBq0Z4WUbigMZeHyWUgp3JACQhyhrxIpMhbGxXZbQ5K6e
8NIRlBeU1UoEaKM6cRSLE6RxS2radHTs3vM214zhESHC+3ScDgOrICV2KABLwmMrZmrpetEZLKuo
OIbWMS9KN9PnwCPKYacsoT5SPRFs2KHPJKE2Y71isjkiG0d2B7v00qWMF4Mmpb9IydQq2bXwXtAP
C5VYelcpfu2QpKjvdz4UydraEV9H0FAw1V11AxMQPtDQKgtuqBEu9o7hawHhwxajCbQimfx2V0/V
FESVZZC3MhtB0J4qQe0ZwfTqikPhaX/dhw0x5fjgGT3G69J38wWR7f0NjpTeOJqjdorjxN+jT/OA
GOteVPhn9iVBRxP7/q1P7yeEixFgS1fwAl/qt563ePdML/JnTHtDgKcjsN56JGcjLSj89m6lksA8
lDbDlZEodU1CBdguP0uYkKPWJmtmdFGLxCtk0xCaTlG/G4JJOmeGrulX0Ph5zWjU19iQktQxr5Lc
YkdXojtpYlP2pUdFsHBuZVKFxDw3nnHrGcSi8zaaSWWl3gnrC7ct5RPrb4KwhqxS5h7eNCx85TQZ
fI967pODWen+EyEyqYjWyWiABZLleid4y9SgO1IsaGVthv1B54YgUlm03gdquLHfday1zSj0ZpIO
UoOhERKOpJt228srxbqZIV0JKvwjxJCnEAFoWw1yf3lVv/Qc82nSlfG1CPIBJGgucByZvkXZJat5
ZrfOfkHtVE+hf+jSOn8TNtU4xkWAKueq0Vo+l4rqZgeKhXwdXPBZurfbMXwxSM5EhldLuzsYiicm
coFGHTEtJs3en8byndsUviCxoK8xjBnlell7ffdCeWvBUanhbXJJKc5vOjP/xtMMT29lklvUW/zR
blkdwBR4ZHPsICM5vjszxFX5IoOpCi94/VZoLRqzEfyfw702I71EgfI4khxu3ibt3Jf3RGq65GQS
3VhXcRjSiTQED6P0fZmnedJJlCaDgdAhY18pP+uOpwQ3FqVWJHsKyBTUBimg7m0gs0I76DyVCYJi
xI35vi9lQCgDQCGSSYuhVw9QI5S7l8mUZJf+OjbFB1nkgc0CXLdD9wC6yocVQC+yPXKdifBK5CA1
T2+eF5A3gr3GCFbFrGEXCDEVB0FE7qseh1vk9zy/Adc4BjgnEtTad0k+ec4xGIQMbzJye6t4sjA2
LSg12mZ5qmac5Pe0MOG0EwOYgnFnJIHTnrUlBhb2GRPZ0/borZL9GBgZhuh88oP0c2Vwa4HKXRfs
/ktFm7UzsH3bBzoUwpozzDR+lFMmFrE9V8z6TAy77RkCRfAy5Jn1PM3kmj9Mk7tqHqejc+8k3jjj
rq7Ei1zJx4mZZ0PWGSc9CWIuBXwnQU/UHyj3RyuarbkkD8wwMfbJ0Z3Lm6A1lvk4evboPIbBqAKS
LDw8z7Mzpw+eNYrH0hTMAXIcakGkR82CmyPQTfhBpxXhoHYKrweM9lWZkMNGzJpRsVPCqsTrpLXm
aWfWcBO4IZsWYIcDMKAlSotwc7XObyeyBNWB0I8uOxfU33Rd88QNhusrS/bWSEx47OC69UkjxEtc
xQKshX1OymaT+Uhl0vgOSSueE1XWwSmf0GRs4S5EItMIderYLxhHcccWCYv5sd4ipDwH6NEM1LM5
jGgurJ2saWWBXTTlG1lmuYv+KSMr25l1SsQRr46oq1Wanmra2+7sF414RF8gHDg6hu1di94ZHWrZ
NrCPtl2uX2lUOw/+hhIfuI6JlEK0QNZ7XaUyvR0nMa+7zK+S/II5a3vNdGR5S/5uUxxKzmNxg9II
tmkCGg4xFWG9ZFhJidF8R55LGV6sFXQrKn8W3uS6Yedz61K2UB2Z6zoPdWERoE3fa6rbGgGYCWrC
YaaLNGV6yL18QJ3fOeLrGORYsjKjnO0YU1VPRU1r7uxoUfy7Mp+QJ7ZV6BaHTqfTI2FEBMQ4xNI8
TLnyPkgYMGCoXE/qaECzQNIeaOwi8nUrkn2KYwB1ieSX9wU14Ju2VnTaJRIPnm+B0h9XK6mDg2Uk
9r3Q7WgDXK6DZi+oqrz9ZOF1vKSu0gokxMqLPLbWSTgXXdjp7IWgor4v9kMgkgBIQw7x4y0KM5Uf
C9Ekn1Z694bxTp8+DiJcxCUO56y+Gaa2Gz81GmGRkxDYHU3SYthaloUh43Ik7RW1QDegwqOQCaPc
7dwTGdtue+wrNRBknds1xqi0EiXAjKUwNot85h+CqaHyW2vPa24FwfTTga5bQwRBLXJwB6Pr4ySr
LBLuOQcRszVtkmq2ZP6ORA0APkU1Y1FoAi99EdVkNjGWIaVOqWoM/4zZrHhuUTkMt6Js/faNVS2D
ejCk0aujsBv1NSz7tds7NejXXTaPi3lRzEFWHtrKqv1IZgoQWJo1Hh71sC/zC2RuS/iSIcgBOmQv
orlbgbtaexCVyn0iBL0v76zAzMeHLQssYbUyVzCdMEQaVUspII8yUG2jx6PX8DXwrIaGPWaCu5Cx
dOYW0bSmdn8FEij/mhquCWIoN315tBbB6IIxnrUSWAeurVXmaiPQTBm7GLkPxUEEG/aF8HF+Cwk9
63AhbWXZVOh5Vp5U7znXvGEl6r6+K8lzXzF1rmVR3FNdJUQgp/aI4IY0S/PMAt32mOIvSxtNnuU8
BwVwigiImJVEhelhJdYh1XPUj23w0iaS6SC+fXx7gkTSnOKqMqYdL7j5GjWpuh3rnhCiJBHTC1XL
og8ZRjkXp7PTffDbRT0yriB8CC5xek+2sKXjxktAM3uiWhku5Q1sFtF2A3MyaVb7HHsxkjncvkyH
OK8HG8XbUzaXJpl+reMQmt3PhrsbbTP/yvRkasGlwMkimw60JQiFYkA+2aACA25YWAcyNLOvrNt4
MIydzVuJIU4Q0IH7uHlXaEUfWYbO7Y4oqwWMObLSh6ZqsECX+Wh/9ksLXI2ZzgRK+V6LA71sUsZ8
pp/xfk9ViZALke96SqspRU1fO1N5LExDZLxDCvW0EBdZR+RKklVsKLhCEaJY52XItPklTxLCTZvM
H9U+L3PKVAeNxbgrG2/ydiGNhvw+df9vn/6vb8nYf92pP6C2lP/rYfz8Uv9eHP/tT/2IHHJ/C1FZ
bdLGjSj6zcDzXaVj2b/RIPMPYGB2afjE/9OuC+s3i+UypiiUAMwaPTYLP9p1/tCWbYGk3vzerYt/
0q6/Xj9+GyNsdkZEB8iC8N/9tBTCfS+1rwCd5sJ85B1mQ+kry4umXobYos5B+Dx1TvS7Ycaf6G5Y
bL2eETC9YD+E2iFgFrHpYn7a0sBwdOylnN4x4avz/UhGsD42i5s8wSdowzg3JzgPS1+V9yHt7hDR
GfqPVpsPH9maL0dV0KaeXeLVypPhwQQ9tggzrXfayyGVWF6vP0887i98LwGWbucOf0UOf8/d9+Og
00M7jhbvGHx812kzTk8Jz3wTITLl7nVhr7wOe2Bktyn3LALs3HP7o+GPkC8SAJufan7axTUbKB88
WqALAoQUn2UE1tjirEFG7Rrl1wFdb/Lsj4ldEHCXYW0mS5izjZCxK9ACwUOsM5JZVwYyfXlmKWB4
TwT4QbEUach0klhECQYiRuw6hp/Cb5qoBtk+qELGcB9nJtDPjcza+qhlq9w3W39z7czBnL7jlzap
lQ7C1TioLrM1cA1BMeOQIfvQiFG/M4JNATov8JSoIya7PYTSYbyK5Hsiln2HWH5Mj5VU+g0RSklw
aMw+2IeWb/axpE8/dVxUjGRC1KsQIrSbHUeNdPCYNZUBR0kX1JNU2UQA03ZYsUmbeYtbfK4OOCZa
8CqpIVGcgu20KePCMNwDl0gGf+ei+TXZxYzOfN9mwSAfpV99tNQMWiOc3WCOs3AjiFWr96EtGFZT
jpAjiXZ2BPGKWkwOkURkgYt+HQLCYAFTAMmpVhIZC1t0oLbbqnjCbj09D0x+V2wbbClilPxFHUMw
gWFoGiN4vQXJ6krkcA6GsMrW2rw0h9I8eODB3qJ99p4TGUBMmDzOG8CoZrB3xjh0NHFJKT30vz2g
MM3fcQ5TJ71cHYYQlvTzL+M8V18qElzp50tJTJTsXfmlN5fJiVNTwiRN6zpG3glWbm1a69Q2dtpF
QGcoHxPooiNJByj+ASlV85UCTbjsFhK6i10JBRKjSZZkn+nOGSh0dqKeRspCGy7q3H4m7ESp2GOM
e1FXS/fWaRE1HCbeVw6h3y7jIJMu2gc0NtfHynFDXnqLDasMsJ2MVpQYpAAwgEn3ZZFUTuyMKTo+
rCWfmSVkb+YU8e3O1JW6yQK3eeeYkwfa0+jnK8YK3E0B8qM3jStwnpagGC78rEur4zS0xYHyuZ+j
BjjPETB6yoErvV6FFcp2atGaVxrhiewdAr/3myhcOR5QKHu2dwnRGt6usjJyvwuw18QbF3OPKWKe
evBSti7Gw2q6TLmwianHQGXtfU5uJuJ7Q63EDlbTM9sX90PDKPK9HSYt6xiCu+8YmGYPOWbym7Vi
pRMvag6/TmsD6IKz69sXIi0JAA7mrntyEpfoZPaV/o1gWP64LJqb2JtARzult7wrxrV8cahFCgAa
g0h44W/YNibrJuAmaCl3DU72JWK92g/71oAbsStXkXuQ5HqHqgnvrohNU4IvYWIo0aPk5LQeCtq2
Jou9Er14VCYgBRFzmVbWfkXcNj8UbuqrLxlRp92Oqny4DgGvDpEdNBbB8y7b2QitOB0dfhDL2imo
M2i1V0xAu8DqK5dmmRbksC5LJqBxusodDwVLSvOa0EIXFTAUaPeipzfqcfm3s63icl0TtgUmcIYC
N6cKWy5Vk8Vylh6CdW3nKHDJ7dQwgHvjHT9kzEGrgmoRFZ4tvT1wSZ9s0GbAnTjnrij8k98sdT8c
4KdxXg7G3AfeR280Vnn0vCrzi0PSZgUQQsXQlkeRlboG+Z1ynfv8ulH0InGvZvg5VjOJ/iRrSzpU
TLYa0XAxJakt/mrbHqybwkHSzyU/eQv7w6ralrHWSh51G9uWxIZvNSbW0NAvllNiDBrrYUhaj3Ox
vaJExGyY5Qhy6pFomjWoQp5xsmMUDB1oyNb5eulDu8R1k/dMdmhsgNlHdqaEuT1Va//Yel7hE/hM
3zY9JlMhrWf67UrvlaJniMXQqeS9INb96+J2CfQhFgG70SBAFmp5a51rSsoOLIs54ifNZ/c4JdLh
XedK84mnXfIVk7q8GnKz+poXSXCmN+2GODUMp973TLJYvTauDyWtTcZriDpOTs64reG2wMJ6w1ZM
vm/TdLgwTDm8jBXek53hF91HZxlYz+aV5gtPXboA21kRktOIzDn0WVaZPngW9IU7iJDmWx4eIPAW
i2hVnlhw9bh4TZ64huzPyhdb2LXJJGo3TV0iyKuHjlIDGZM7mF+BRSdf+y+dTnJGkX7LzKbStsCA
MDfrpz7h3b9jPDByewN8+wy9SD2Otenlkc2LDhhKWfhvUsLJCV5FyEe0kd3y4dewND8pm1DRXdiW
6UOoMuujBqlIKeLNfNGRAG9ziDqDWL2j9oJaHhiSSpZ5dbFRIeGh3rtzELwD4z4MWJjLCrRYVk8+
8U7+oo66oVcl0airaH9xGTHNr/vpebZJf6bNWGAhlb1DX1d2XUWYqZD+W6NicXIIq96DU2gUEMJI
AraB3jZ+WR7wvubP9gK2FPdcan3W3NYu+r9RvqQe9w9zuTrE/5AWrUb0PyIGCMO8wZKXYRM5oKT1
bxwN5DiGGdykkRUwFmRVYhc0l+mQDfjNGng5UocJapIMXTYP5GmMkfq33nU1IdqIKMxADVgGjy9K
nNWjXjO2YyvPbL1zPjnG+2K2aY3ddbGyeFWIe3eedgRNNM6M7gRWtQl3VljwRPdw9EDtLlBM7NgB
6CUmXbpbjmvGg4kVDPWPXlZfoaDui/Lcw1dy0Mo6/nhcVndcCaNNswN+I9+7IKa8O8GnNyZmiUlo
7rJkJDEqDXji0qRDy5L0Slc1vxnm5MCqYZdAJrIjz5BcqZPrJ+4Jb0PYYysiwXVGqcDD18qqifgd
0X8eB9DQBy3Wqd7pWS4LJqRys0BW2rkDdR3cT5M2TmI1sb6E2uX5kXaLGZmsQG56W9YfwkrO187g
8ezOy2K94dLUH1zhSuvg6Il9lTOUxkVAutGtqT0IuDCMsi84kPTdvCL/OOi2MN7zzT2f1TVTI4Ng
7xH3me8OkeglGhBvCZyXxm9qXlGh/QXzf8vdyUAGRhlKHJ52skpvdZ0bH4I8UJ8WSL+Qx5oxJGOY
GRwmlqy9S+CUXc+45N/z0xrP7eQCRWQcKVggmaL9yhZ6zWPyBKxH1a3CjpxSM04Hpa7mI9qn9Zh0
/ejGwLFCzaIsyJ9n9kQVA8JK6OM0g/nn/jcmEHBJ05jb8KyAY4lWj6hv3H8PLL6HlE06TX5EiZ9y
hRa6fB9QqgANLnjEoA3KwSNspT5PsMzgTspMO8cKztCd2fgyoWP0W8y0O5tZE2PyRntX85iub9xS
kiWZCGdiQ7SGVn8Im6y4y1jyfHWt1LhYJwrG3dwL/6nmgr9jsAMMfxiC8+RXLuPGvHAELTsYZS4F
o+/PXYi3J2IFg6lsYY9nRo6dyBu3GMIvjCXtDxXPmgkumuEZwGcdHgouJXiB+2hx6kNYVJ0407MV
V2xutldPMACkqhqgH4Ror8EUsXnkSwxTbWZ7dixVF/NHqUK7ocGJGlQY3gReSROEZFqH+3kAVQr/
ZGRrGVLQDUcQnONd3RlVtqeS4RrMwkbd9l6R95sEwj7ka82jya/d+tafRfiEI3VyojVbbRuHQd2d
m2HOnUOe9kAHu0oYX2o/wRwWZOlYXeVJ0cuYcQ9ldBGU+Rxz/0nvITATu94HlIl6J/NqvSVCp5KQ
GjOKPKxsqbnr86l3rzJAqXWU5F1wZtbY3ZUA52HTEMic7PrCK7yogCZGxunqbnq6MnuquAnearsj
CJvmBrVH6y/Q61ojqT6mga+fswlT7wGesP0xgD+27ljLDn3M/W1+qGVI3dpazMV4Ajhv2VECrkuM
pLmbVj4QeWYNn6fIs/xj4ZibzIZo2zeiKdDg9HkbPJYdQhV0cqV/dPrJbamFZoPLojUnShAxdh24
RCQuJ9+tsSzabNrCqGxN+p6hM9arlBq52of2OFd7g8dqvauNHkR1Zo32yTJsxHWVATp+t2HiWub7
o/8WFZbXR53eHlMZOGwQ0o5hphc87Dm/YbhYVczLOKz2ZpUaT0g+lvs8oQrZc0cV0541AkjJZG7R
hlJTubRZ3pIvh7zsSyImKrtltD3LbdrnWs3RZug+77QvtE88d6aC3YpfvueqlfqppxX5wav673Dp
X9/sOX89XLp+KbPfT5W+/fYf3q/fkDD7eLxMoFdINyxsXN+nSqxSf7OA4gQIYDcJCNar/4yVLNxf
/MOwicAil/kEf+rHWEmYvwkcAyjfvw9myDf7n//9ylTS//Tvv3dWwd54NeEJYADxyYBy4UDDiYH4
4bUKJBDGkI5Ff3B6GIwnxBB9HZe8SIYne+aTYc9ncMr2jW359tTRYo6NgibiMgyNMTy6XtdOb2wq
Wv+6ygc/P5uMmyesyVbTX/pzMu3DCgP/uS/ZbZ/p1WwcuJ1X6jMahVYShYTv/NC6ZT2+8wsDoqO2
sSafcPQ0AvkF8sCnzkePymNnyer5gTeZW3wOZu2Bdbc1W3Ro3VXVf8alkt1Wdq/amGXVnH1GiT+Q
MespFZ5z1rTOLSP/bI+CnNtoNHPHv8/kypxY1yRQxJTeInk0/TlUx7EZNUhe43GYw09NOF9PflLF
BKGx3jCulJ3ZSWQbZc7U2HWG4FiNA9vEyET12F8HTRi8M031ATyESM/aSWwE+V6B59r03zqZfM8u
hVVVF/bI3lykLLGR04OAwh4DMjham/VknfoMjKFHBAhK+kTROxvaOZRtO6SXJL12F36Qyf6dY+TG
evR62fO0pxChplXrhr6mga7PBZXsLcuS5GpkutkfEI7qM/1sCoKAJeS5Z83T0/go8bgpNKHmSpCU
EaPwIDmzLAobWBWOeGNXDrgLkWnKgUg0Un/MMbjqQ4N0zjzqBXkLaogusaMyDfuPVi8gvCT56t8r
XK68ZxiUlzT7i/VsdePyUvSBup8zj5VaSbWSuF5MR4a+OgMR8SY0prdrPVhnWln7S9kLuQIU3npE
NtqelIdaMyT95OjRTbH1IjU8us6ix2t4Wzk09SGcnjIPlQhY7B4gtixV+QGwN9Vp0okExO+w5XUs
w9wlbySkzFs9CPRJsZjSwv+SjW4pvjD08fQD/UI3nxfV88IpdUU6wG5qS9tKI1MUYPuP9urbjKpI
RloL+8TAI2/XnW/lYFJbNAvWJ89PfBx+xmLO+d4ch4rGbHBX/9k3FzNDHeMm4xc2TJtIAg+H4kWn
JiDFjD1D6iuP903gNDEUsfR6ZDXos3xV3JR7muEw3xdN3zcfw4Ti6OxOuvMfWj2o7C1puT2lccZ2
qEMsuW4U2MHqhv6uR3FT3gxB6ZcdgTpmKU6IvABq+nbA9MnNEPBOQMBAlQcGm0C78q2z18zNJYCy
4Fi4kzpac1/foBauoq63r6U7oT0qxhxZ5Jr6TPu69JKezzqkvjt9KFBfRAzei4/VzLI86xgjsxHj
tSjWlUFSP4fojWV9MooCcjRhGGX0f9k7k+XIkSzL/kpL7pECKOZFb8xgM40zncMGQtLpmGcopq/v
A4Z3VtCcRUrUujJzE5HhAYMC0OG9e89VIbg1C1xKRU7iVkleBg7ng+icFBHRmCe3eB2x58fkvy7D
RMofo5T1gTkOun87WfucFdPzXWzQsRGcc0i+TWvNuS6SKSCFwmbc37s4iXQ54nQ93wNiSesiKwf9
loorLZ+IqIqNyky47x2TbpD0Y/DMqNjXgTZYdyqYjiu3HJt9qrTtGSkUHa232vKIaIQFT6QhBTBX
7+6NzCi7VffeeYrcuQsF9ETdVAI5QNvozoGIGqobHcWNDczabjuVY/GI1otuoYg4MnVGubZDx+gW
sNQVBNy+Q3lh7JdtqdKZEg3xQWmkHGXXXGot255YUkwnDrpYoicxgVokFtr82iLQAIvDLTlW0nMx
xB2GehY1E8JOMAibT3gAx3FQhhezI4PCNCswDM0QbRX4H+jdNCrvnRjWwkjgkhuKdjCo+u5JvCEm
a0SbAYbC9nzVqtf2IP1dlCE9mXt5lsVGuKeJS7gIte0glfF5lJkFIue6vo6UMtp1EbQHxEvsXYgL
VW6rsHwh3p2MrKGXD+wH5VXV4kSRQUEVuhpTRqTfiMQID2oeC7bQWAF8Jet2Vpw+B1NHGoTGPzy/
8toRqj3/iEPn1LQofg0DmTlZ2YywwotkpeAY2dLv7ndysMVxCBXjQcTCOhhOR1ATNch966eHTtSN
x5mZZB5KlKuilvnWaNzGq8yuP0oyJUiEM30aFaG/0RVTIMwr6meOqfVKa/RqZ5Wxz6Yyk1t3al9s
HuHKjIS4rvpuDbg0PIOsmG81a9QPBqD0x/S9E6uix18bicJ51gAJTEXRVS/LPI1v+7l1K6IIfgC9
52DTYivcFXarXyIbLpbKe6/Xee/7jhSFfhipeUX7lhVRUcW1QkHLUxoEfBz+Rw9SdHpFQ+Gmq017
q2ex9VTT9FpmYIDWdEgoUiW6Q1JXrt+7nFnRvyOuICjkVUklU0v03oxWoHr7S2jZ9JfT0SBGx4/1
GzWx1IV471+zG5LXLV/uKuzJ7mbqcpY11odV5VM3h/mjHMGEEQT23v+mz9+i1J9XceLrctjWABLq
dT7p9lUVWNWZgGf8q3/vqcvfHXb/d8fd/t2BH/tSC1u56UNiuKCLWQ7LTvAg6QprwSUSANmV9MIb
31JWYaDEVUqt34ySup+ZaLWfUox2QjrwclroThzq6vzA61C9gXcoGnXY9RJkMAAZNZTUyJQme4MB
YPnPwpJjQnEWVshTi0R9V6Ex4+XNQQ2nBfSQrH1KK/TsttvHYJjM6JJDLHkTVpiSSYXsZqNwflPX
Koq+BCprHazzvMfAIp2suKaiYaKH8LUjMQwtZUekhqhShhFhRTNtk0mmXq93ECLowS9HO0Gs1jUo
ulpHr3cIarudoozRGS2H7EcuB/LTUFEUr73w2ViZEOjnLjow0Ty313qV3uWm5QL9Rgem0zta1mYS
HxU7iJ/LKtPvFFn2yqptqTrXc78g7SdAJWU5OXz67njfAJ3e0lbP1gP1kLd4HKHZigg90mQ/A/Fg
FxfAy6LK7u45ELfXQNqZNvgXInuISVLfAboKlQUU25ztGV0QzpU3ZeM4HjZfTETmqDivYkBQ5Lbw
hioze/D9sb1BnODSHQ1j+6oRnQ5mmklrrllC65Z+uk7b3mwPZdHULhz9Wtz0WGwqFp00B3yt5/pR
EgzyNAzujZaFzmXJ7ndthRJB5xjGl1WsUNUYusYvvQzXRQUOjOIdrabsaYCuS4vNEtupMMujPtIP
QqwP6Sa0cfaFHXV8wJ/y1oms4SzC/gZHfqIuqClmt3OoTXuZWVksGNOL4oL+bTvCwczcyCkRj4Tj
+B3HZz0pwJNMopgZUyBfxi0B9nieq9TVYZU46oPUK0BpMLqotErgXve9UxmvU6Y2d6yMXb5shwkv
yyiT8zAPmcMp0u6QQ2m3IcEYR1OhVZkR9f6SELJOtpcshrsOsubWHsi8wTnWh6t8VMRxDNLmGFqD
esR14e8hLmnu0lBK9WyiC3ibUxU/0FzDhOMiiUYiNrGPKc0xvMPFHByNJhqm9aQr7Q06MLFpaWIQ
2jcNg7Nkr+E3TwG1QKSfAv/n25DlzjW/9L7m3E813O8THexbpIkXp6pa81jjoxshmNPRuK9wTAmy
wij10TKynFkiqOq9vNUgzpRHBfKNWBj0+OmaBrLJmdE4waDaTQGvd3s3q1jPZT0o5lHr1KlZBRmJ
XMssLQdtbwS9na/tzk2cRUdlNtg6ZpeuaGoj55njx4Ym8reAVncOPJZlx7lgGTfVPfdVUq+nXoFq
CBmJwgIIM6uCZKf31ZnSK+Ohl+YLmKnhSOnQvWoqIz5kFGsWWeZqi5ZCJ6UAE72UDUadnDf2FJoS
0N+JDyEupoUdpuW2DaNsh3nK2plm9tgl6ZUUHVAdg0UfXM2jL9ihl3zV3pCkiFDMwN1ZUoQ/+UD1
m4Cpe2ngF31s+yG80yo3QZun+ZvIrqwjkykON5j401rR1ei5sar0MFCbfVZLw27Pe7UYXofGIgbL
qJUx5Kg09BoxbBwHPS216vicXbxFKVVTp33faRna+hiLzYXWkpB2n0Xj8BZoBksfkhkn3Waa1VW7
MPX5ZXlpiy15XvaTDKIsX+kUTv21kaFL3ql6OoAIBay968uA8VCigiPslGllvVL7sYtpbMYKgjPf
orSNUb/UV45dwDTNg5BX2M7Yme0kmmxjLwazby5GZ6yGZ7TtvliFUvqvlL3QRg0QkWhk6Cw94O/s
zDmT+WiHz/SsDeVI79nOrhS7Y+gcOjIQlKXOdI7+b9jTGy0QImgqHgKAd77tGUOpV3ibwc5fpWiq
0mXcN2VwpZmp7R+Njl6e19ArmuDMRr25Uript86CKHDucPQjijVRJnMtqfT4EIVTx/AmirWVp9ih
cRYWDN9CI6GZw2pDbui20qK5JSJHuVVi+cOMmnTvw6RZ6aP0Sedz1YsyLKJ1NeEqFIR2vKpTGz7J
Dru5PaXWvdLG06pE0L+h/lZC9SZnk825ky4qYbt0dbMhfRk7H3NXjgB0a6ipODgDZc5KtR7S2ux4
81U724cAQvYB8rCVmdDsT5SEDKYZgxzkVfHSoY+sqDVP+msW0ateCJEiRRgzFHJJkdZbxazbn2M6
FXuVeNSXkgoKc6BJwouHl9FYj1qJs4/KSjXiTqTliBKTQ2Cs6uVGUaeRir+kk6sCpqItKdqrjICf
Ay7gboPbRVyOag5jt5i0NcCsH/Q5x7WdksWj+kl96ApiGtopF2e04sQxSGI7XjRl7Ty4UUacnVBR
xCChOBCFEK4HgRo0SxzxUynb+hBSo7kOCDAwFmpFBoyPSzVfaKw2+AckbNYBgQFZpTrndz74tZlZ
DMqkOoywf6WPNSfrQfdn4hbuwQoQm427rV35ieGete0Ye77pIycZg+SuDYJkBzhzMjywhnKHYHgk
JUFou3GEJ5xiHj2EPTw5IbRk22rU5M2gLVdlF7VHKF6Ov/X9qnyMI5zDGO+7XLoXapPm7b5VFNNk
I2kGw14x9dK+KKsQHF6i1YbLmRhVcvsXruR/K47/ekei/PcVx42M8rcPvrP3P/BXzVGx/01ZiPBP
C7iKJVAzIuv6/0VHKouwz3HB46GEH4Xp6zdwinIkAgBLcLJ2VbbTs1/td83RnsGx/F3+g2GM/0f/
JzXHkyB6CBXzv8lSHR2OzoxgPxGVxSi7pJ6FRwUE3zPx43mAPMvp3uJ2mreBpEmi52hEQVKx6stV
k835exEozBfTkWAt8Dz0ufe11O0jDuGv30QV1sCmx/+sWcf3d7hFRhCnKob0iHyivMlSxXws+zF1
PcvwkyfXDfo7t0/dB3Q3HIq+vvT8r/4v0M/vS0NAYCxUAEb2yXAgiFXwOMVHjLfKOnBz86zPQAgo
IlIv21ELX/755WabNdQHaP4wrT/eqc5U4dhpfHSMNAYeGdbZa0xy8BPRXJVHi8z++fX15p9/ent/
v96JzVCPFatmEjtqYgpXTqKWOwuAyMaJ+cuvr/TR0PjXQHJPcINVQ5iwhD/eGcVd/CdTcmTn3h5j
Jcl2cTh23xCSPntRKOm7YNLgyYMu+ngRpYldSRHhWDiy2LCJ0H6h26vPRuKDd8JvqxfcDb1Xp5b4
5u4+Fup/353Dt2tyVWDNJ+PYJJPK0hoeA8EudVnmhr7Wkz64dibTuc4H2R0GLDcsK5Zy7cdFZS/+
B6PravMraoCcECdfiGsTNmqqXD8p1BU6aKgvPcDyry/yybegEZVgkknPVVDbfhzdxHTauC3CI0GQ
5qsk5mjDrjC+GpIkPIqybr8BMZ0wZt4HlW4K8D3YYVz0lCMkIEOaLFjHGJ3noR5K5aGIRHRZYHi9
coQyPLpj1mxGS4fEKBOcQjafjT1nd43rr+/8k89kDtfgv7zC2ARPHi/ORGZNPzi2MtWo7KUGLVg0
cdKl8/yPrwT4BYOMqquuyZzzcYxlDUs28+2zTrTBgz5EMaEPE4dM1E/br6/0/jGcfPso+gCNa2iW
odCdPM6sYiazY/0MfYd22zKU+AES56V0qU7sew4kP2w/RMYmwyx59uknEZaFk/Hp65/xyZdjsN5w
p8hLWPlOhhbJq0kqmHYmSjlyzIXQuSSexTiWU1KuMkC2R3Z52Q+IG9kuI+f98PXlP3mnDQCOlsa6
AhnLmJ/83+KJsonSQ6djaQwSZytGt10nnP9JjRrrNQ3dYPf15T4bdApMyNdmnLvKMvvxetI1KJm5
4gwXJjTZrE5MKka2OwemVbZ86Dt9OKtDR95HiqNtFfLt72uqwd9MF58N+t9/xclbxkTv24RvIXpt
ywsxjsG5Sy+bCp6wrlQAGld5PHabsXDLTYtJ+5s375OlgLgK9PjY75lFxMksjc4rjPpJO2uHbNon
rTC3tHZE9M09fvLNGixtM9ET3hgz48eRxr7qq2WpYf5V2W2bHRWLkCN1gynym9AP7bNLQfjSIVMK
1WQ79vFSNiVtakLamZtPMQ71cKQza8MT59DdOejdwwD7MbLcXSRG4eVGk5yZsUK9MaeCdGv3RXFu
gtE5H9KeLT2Mcee7WJ35Wz751lGSCx1vAio/9RQP5uToYwxzOON4PZ71dWOstNzFLxX11gZuxnCN
Fix48wu7/O6Fn1/oj1fWoKFiw1BZGAmYOXnhMQJyvlWsA9XM5AJtSewFZBOu8NA0G9VM+2Vojwb6
FRv8fx6NV/yGbAfNvljbVp37i1J1+m92CZ98hNoMHJw5kbrOlvJk5tMH2ReOYx66ukg50CXyGGSR
exNlJUGzdhhc49ekEaCNeNW1XlvTc+x+fDMRzK/fybjMpDrDZj8LH45d+4eJh/CVyQVtc1D0qDlC
HrbPROD752ZTYzU17ZweQGmAyonFHhcVwTW5nl9aqFSW3/yQP1/e95GAXsFg4CA9+RpjOdDRlsbB
z5r4p2+htqFxsNPoC3qym/Mwx2xoN0FbV1u9UqNftLj0B6N25VIDBL0LVfpXeWfU5ygMje++rE/e
HsECNZ+UoNshhfg4SlokMgZQP5giCpSlC3zNkxSnd0LSUK6yZ1+dUkATZk5ppvNXIzPuMpB+cfCL
lnibQu9mMPB/jnKXfz2hv4syPjkgaYA/aBKwaJrIsk/GKwAqoSSjesA7iF6TUFdQAxFGz7Jl7xGU
ZXqNX5EwHtk8Y5AukN0W7s7vivEqrINQ/2Zn8tm7zM+BAsFU57L/PPEelfTdceDpB5p8waa2fQte
zUCxQg51u5qKtrw1jLG4HrAme0aZk1PPWvP1kPw5uTAi71hS+rH0tU4+J0xDht304qB2rb1GfYYh
ETpE4rWVnjzK0ap3vdY8Jhiotl9f+H3yOPmIZkAevBb2vvN59ePrEeWGpF+sHeIccBzYjmjTBYW9
ts1UvUprV3vSBqd+Qx3KhJyokb8b3HRnx46xEAyPR5n2d9Hjg4bn76/Hn2NhzpIdAOdE3LETPxmL
NFfAyU/xgebM9KzWGq/qNNLqtJLAaJZ6awFHstnibQl4lt7Xw/HnumpiZ5tnE4ZCY+X7OBpK2BsJ
6R8HRyvj6xYh7QZAffLy9UW0T69CsZ2SL6Y7KrQfr2JGLWaXKTxMNuHDo9V0JAsotMNrhMB6a6OC
4XXYQJ6MPCrjBlEnpU6HC/8IBSx9esSriks0pym6+vqXfTL0LDVUDtk4s+if4nEJg6JgzQ9jdGjv
Flp2noE1W/sDehAnB0UzFmhe+Wi/mcrnYf34EpKZxP6VN1G1WFNOhj1pkcbnGfJi5Mephwinbpdl
3+XEykvKxl7aww9ZiD7AW/31Hb8f604vjfWP0+4cNfjHLbeEgRlopA61TcNer6iXZ31EjGes/WgQ
JS7hYFWrbBquQKhYh76vzbWpjM1a4ThBdnOdXNYV0mViCtob26guXC2fribNrI9Z1XXLqgtea1Xe
yj7W92Psx6u8rFxwBo2ysvjLb/YKf+7F0eIhcoMHzBaF6fXjm2XXUcqcau9FNX8faU0w9RT6+qY2
KxeyuJiCq6/H789Xeb7gLNfjAIKc7+TJ8bpkApzIfrDdYBXgAFon5BR8s8B+cld8lapAKmjOJ5yT
i6gRmiMlNveZovmXnW1k0AconC9HDXoCQI1Qufn6rv5c0G02ei5Bd+gHmY9PPtAcOjS7jnrfko3k
uc3QrSAUWWvFzMU3t8ZW5eTdp0bFlpdyIc+NGzzlClc5NWkoiisxJUa7rgKkrVD61Pxeza0xR8Dc
mfTAsA3ei5KZizQepRYrm9Z3vrNo6x8FLkuq2Ar5SGqfTGLbjAJPyzRUoVxJFLQXmNyijF6DY21S
G97LDtJi8VMWU/amDGpT3YxQNqalIUu/JO8l1X8gHE7OOr11Xxt89KFnayFpzwMNLxQnVtuvDCc0
4cL4TvpalxI5ETZ62S8MS4vPSx6X5MzbNu5aSJFB7xgycwWzQwlQQ6XpaxuI6SzTqr7xcrr1EDGK
htaghNOi4YFPk0vCl5xkYZW6fOXjr39V6URKN+koKOmLfvZ0pjL91ZTkkXshmU1vhR3H15xQ1V8N
6rkrHT89iM6ytnsQQJr2gp8yDZB2YvuiJ51azzHJW92iU1T/ychmyEmRp6nu+b0aH/LESK5kmjbO
wrYN5ZYigAg3PhlSAKSivBkOU2wUPRAigbWoEUNGGrxP7NOg+DGDV8x9ylIWu1i6OcbdSnmrOfzc
tYUR+otwsFze4HLUupWNTUPbFOUYWwBA6nshZd55roZ0Dx8iOtRVZdAMA6MYYysY29iOkFrW0cwW
881fOqSPvdql1kOdJ23v0YIvnBl1yh8pmsk1YGGMIw33NijrheLo/aFQjCnyJNXeZtmqKTYHUmhm
wb5V4qBAhQK/KB/pLTU5S6GHgqvfAiTVQUZUYah4hR5lxdKsTP8COARdMlS+c88aw8UlygIl3NRx
1+8B69KTB7iDNpA2K1H0SVnzeyqaKbg+LLBTCNtwA61NP3bIg9Et5I+SsK5NCMrm1SS4x1jmecu7
1egoP3Go5t0PPgalWCDlBT4FNZIukF4b405v9OyRbZUoF8w//otE68qDyQMFZls0Jjsp7PoHU+MA
321EA0ceRPgQNkBsVkkz6D+tnNUWrG1lEJWqCzQCLZ1SD7PuQP/ovZ/kyxzXApE45k2vGsqj896E
kgm2OjwKaX9ApZTicwNMqi7qtquSbdDVbrSPQiwcxBjNPTMFdONEWIqt2CAWkvEVd0NTLSrSHgR+
a3pzUU+PGrfAlAWLtA4i1wuKCV6apoS5uWh4heTBiKMi2gSxzQYdtFFF+kkxwJjHNw54Cuwd26Ws
d5HSlFj+AZ1kM3mqGlsfGWNZuECigqR7sQATqQvVsMMnezLp9Gqjjq/YrbvgzOhBfrs4fTCEma3/
6GO3cmhVBulFyZYwXKKRodUaOHRd9RSWjdfjr652GqjM7VCPVrHwTYR1K3BHGTK+gbRg0t8mcCc8
5A7ckeq/GFYQl5CKVCfxgropTA86mdJuRVG2j74DWOvCboP+2hzohi4rH2QcuR1JHFAWcPwfaAgj
qG1JURlIBdTSoeUfMd0gFq0Sr8ZyzNZhcgZkt6WjZl4bde8pTioiO9wXBACwYLqv5ahqxipFkwbM
772/nYwlve7xve8NVYotP64L9In4cV+CygjZCFEaf53sROwzepq3WPsTBDO8kSrw2kTJNhqhUzVh
V9bs1sDRai81WTY3lhVhGUtrygSLVnNinWIZiVSrtJJzOlU5b7MjTBZ3kUzgqWg9XAJq3u99fC0f
3+2/d7rTMPkEtIy3AXQRh1Ndr/yyI8MEHmpYcNEsc1DwViBTxHXFRnsJ+MWg5yya7ihRsuRMP0Vx
ZaEmjxb24Pb3qtb1j6aoxZGRMrHFhU58xwPorgMf2ZyIUkWHBpp3WMuCXC1WMESMeOVYsVuh3R4a
F6iKFuZrEUT2jcuZljCogl7CstFjcYale3p0JRswGC8pdGq9czW4s+gqkJDV+Li9IsI/gtHSmTJv
NFhZln3v6z/xDkdHPc5jczlyh+XWxG17Q7e4vG+iSbyAzUGAYWcY6qxQye4gHTAREb37Q7GM/jxA
TopFKANeu6IvbMkFgtkpWmCda7E+j3TQ123Uq1dqCGmOaKaZnQZ9yLSWaKhxnkUB0ucF23LlsnAE
8si2Tftt5OrxvTA67Y2CrH+Z0kwjzBFn3HVBMzpeVtNk011jp30GZkXjcI35196wucfS3fUTa6Xl
mD6AFlWtfvUqe8Qtc28HUlVASl6VTgpYL2obQrsQQdmFV0poE/sGKs0D2AHLXHVRZ6c7lXrQA8GE
CWDkJpTtbjQ1qz7gNVJuRyR0K6WSerhJ+wwHXkpeHv5GKC13iUaO4SKsfOtCVSo0PDIrg2wRYyzV
oEbZIPYyJ4t56aESnLF1oWwfKwOBqv04M5ZM0F0ItuACJgtj6Iu3gcZNThgX6+4SwlyNFKw23W5X
4urcTzHbCY0J7yLqaa28mUT8IQUtJSniqprL/dDqIgFZpBfV0tAK52Lm+2FP1gOmdD0p9SdDyZLK
Y0tEEFSV62PiIdfuHpGERLteNPmcSKiDooF9plznaYbIbxQCJwXdshGJweDKtZNiPSGSDn7VMtcz
ec2ZG7MgF4d4WUoze22sbujXhl13zbEfzVHfBalrbfMKlf6C/qqhM6Gl5msIbuIcIXb52kc1YA10
AsmVkdnKS4H/dSZ34qPzGqVEBdpKlxqQZqRGuxzDqmLCceMb3WqH84xZnp4Wu3YWBdnCesCm1yiL
qUrVvcqZZNr7vt0r91lhDslG9QFK7HBI5RVc+9qHPmFC2j5qzD/sDEeOFZcImTt1Nm8UkMBgSYQ9
mZoyxt8Xw7BeJWWrigW4HpcPFt8VrHdJ9XwVupP8YRWEICy6KioppdGUWqWWWT80lYayN4BpGq9r
G+5SpNbWT4tctnyZd2x+QEZH4qch7f4K9R9GrFCk0OUNs7auOt8G5JtkGH8X9YjkCP0gI7j0HXbT
gDJ7lnMYfaW66OxAY1vk6OYDiU0hyaSWczNNwXgzUni91bUQqZOSly6rKC88mjAVs/3KaZElY0Dr
ykOrxnXk2Wga74F0jW8mVvvSazvdvB2acABxh08MYQ3AbfSEvo1vVC39i5DuTY+zWbb+dWXWQc+0
ZLbzPgv1yLLXJ7QvQeOU3RKOtqut5+31UWGvAHctJhZu0ZKIeGX3Y/iEJ47cVXcyjqA2m1WppW24
YUfPnNL3DVg1A7j/ueKSrgBU3IUalfB3nuCx1oOHKMsZEOxk5tGUXXc7mWpW7cAoNOSi9WN2lYJU
3jDJRCjpx9JA4eNbFAJ8IAL5wigM/80P1QxOih2uSiOvJNZpJ+k9tUdKtdSZPvtlEymZhQJtrKZF
rNgl1oSMmIK1kfaahj08STDIptL9pTVVCfPPb7LEA0fP4xvdrNWObmIIyDWuEVjL3GkNFA1yyiFH
TGhwgGOkd2XIn1onLPkG0aBN+9iFKOEXRmNX2cHxg3Fa1m00akuKo+bPeCziGReVgY7AStJ5luYQ
gxkzdS4BYQX5mihCCj9dSWwtE7ZToO5vDfthplZAiLSm7FaFaco2rWPHviLSdUxWxNMH92XUa0fa
x9PTAB7nh9Hm+h5GZUhKs+jHazer8a4WiIY31pDY/UIrUTCv3bEbNxZlU3+rd80t0EsXvXudacso
YbMFulAoq5ytl34cGJwraWPD3JaR6Zyx3hrvSZpQ57ywaSV7oRgkK6ExZldcl1Pd3eZGoAK/shBZ
4ihP2hesR93jmObjdcZLleJob5FHKQPWEI/ghdbaMr36bP1GDUXmFKczDDjD6OlSbubpj2WtMW8b
AznXLa9DaDTDcQq4mVXZ4OrXgy5Q8CLPrnwkUrzR0HDWZYVwdOnqrX9D8GkBrrQZk3M60ukve4pV
7PWEAD5g4u/ClRJpsVgGWpGbe4g6A34usL/9trYTR+N4VaHXLKrarZdOWWHYh2dYUUx0B9B5ejnU
xlKRJirKMFTHM0OFf+tlBO8CywDJSAoFBHrPrOLgjZIW2RSsvVbrkSozPCCflMbG7lX/FxxbsTP1
EVBxznz0ODclzsMWHMiOpwDj3SXBZBUKMfxwaz7tJm2yCwczRrCsSWHqz0hPSW/8gBPw1q4ctJOw
0qwj5DYX1aTvgHzpqtGY3TbBC1o9KIFGWQhSI0MEHQsQcCQfu1oqlxi9Y7mwBIxZKYwJNEHAqcbj
kNP/QqKooBAfNcJVEYTgm0cPbz/m/J3jSPDFddOl2iWwzJaSv0gyY0Fmo/uAIZ12Tdm08GC7oYB4
X1ohStEpkMoDeqUR2E1Fw3vd6wAzAHNgIYlxGC8mCUGa7ZLr8m8y02jehGpOsnTJjRmWM5AyXdox
e7UVNB3QyFAcQOrWdGjXtSnZMSMPHokpYFc67/kMttlNjt/piA4T+IVVDJO7bGXoPhmizpsVtRfA
FSpJmhdBHWCfqysn6hdwRcrziTleWQwy4kxZwGx9bGusY8QDAYNY90Xs3NYA5Ou1Forg7r1g879C
uX8JnYbNf7or3nP7/H/ecngX4/lz9vZ//3X7nE/P+UdE+/sf+W3PVUG7kZpE/xDcCwsW1aff0Df3
3zoCH3roVD/Q+7jiP0o5Rf03UYSEA1KJdahvUATjN/zWysGe+LdNr59MBkQylBmpz58Ycr8y6H6s
H1IBpyDG+0szn8QlKuEnraAuSkTQYjRFt+/HLH5+pm6jKoe9+rdR+aTn9LGiN1/HRvXrmmRKEgBP
F/VjYXTESQ7JBBI0tURsFzHS+FdIsMU9JaPe+/paf96TTZMYjTGlQ4OwsJOWSgJoqODoiKQGXq4H
AIwirC/Ts6+v8rFu+Ncd2dREBTg/hC7vTba/yS7CRncxhZH7jI1XXJlNlZNrLKLwInEmkCVOw4H3
6yv+MYZU32bRxfyyoJJ6TyH62xUTYTRORZwDJ6gGOC0xeuxZ2HlymIqD4ZvG1HcXOxnESh2nftSJ
Iq40Zxw2qSj0O7CAauTBpK3WX9/ZH0/MFULMTQ9yvxxyxk56pGE7n0FMoF16WXFuLskWDnqz/uYq
n9wSfSXNsR2H6jwIxo/voJYRQS2AZiKiH+NDEuktAEF7Wjam+I5s+NkNkT0FUx/BFhXm00tFqS5Z
oSHqtaW2M7mZJR90/81H9dlVZhkKk4XODHPax00zjMTjOM60K0PbwP8i3Rfu1zcd7PcK+H+1aHjT
eTp4r+hR0pKixXDydISCaFNV8XclYCJLr24GK3UYxDJsN5nZEUMOTozzWtmZ1XNQK/F4BimNnICh
KsnE4oxV17di4Gtf5g07KvpZ+L8BSuYpaQeaM3O8feixsGCCAK9Qa5kb6FeDXLpVUVPdsFVMDHWv
Bb8opOu+1+oTGyazi91nK7URmE85cL0lgJgGBJ1aVbsICI3j5bKwHwPDBE3z9fs63/HpiPCi0tZ3
EPW6p10XZoNgVqOAXxlB2+JswoDo2kV6VdRtcm11NsS2VhLVQqFU0hqI3G/0H588ed2mhW+onPzn
F+zjq9w2HUkePeXQQcXULsjj4qjeK980Rz75YHQUqKrGx4mY+nSKC8hgokBpU3TFU78UnTAPekvK
OpkI1uvXI/rHbMqUpprIhrkt4VrGyXQDWhN7KbvvhZHU+U976EBW56ZOswALTHSTm74wv8mu/WQM
oY6yOuscydGNnIyhUmI/xMdGfJXGiiRRX9D5d8ZvlonTqwD0Mgyk8CSg0KVAqPfxSUWAqyNd8+dv
lBxwqEdRMyzoinSO9/UI/nkhh0dEh44FCTmFcTLl1InVFKECniDWrHCvTeDgbE4iN//8Kn9tGGbl
j3mK8yiGfG5CVNnCcQd9IWUZe7pD2/wfXwWnLg05TMI0Ak/jW7MeP1YuyEcdeys7AClgo92lyuXX
V5mH/u9fsdDwKbDcQNFCKoXx4OOjid0IYjQEOcyCU3kVaVnmKVKMP7Xsp5AN1A7Qil9fES3S6TXZ
s0FkYambL2udiivygcZLT1jEArK3Qm0WzXWNhSlX5MoBk5fvHIgB90bX+bAu/QqQGjMNMRqWKarN
lJUS1j0Gp3RLqY5slU7VGscjRsPhhFkTALOKDL13Vk1P5XhZ42Z4aVytp/idiToDW1Qnv6aqR/3b
WW0tPKcgLW9t6VOMX1Fv0QBZKi2GvYnzHdBhSSdpoemTQ2BPLJQLkZJetswne66k6Xp/YxIe8BSA
dA3WZGbB6UsDuh9UonVOpyKnXVq0ddYvc6X2a1AAFVHGWtlPS6UXYNH9viesdCxtPZ1RlhALONxS
lBl8epO0NEkeoaljTSvNLTGWGw5Vcw+0Uo1rw8H4BWlfK0CeokwIF26ta8l+kkEPSQkkvP2UDpqV
UGBwSnWddYNZkbYF3UNGfq0encmwX8j2U6o7V4Vesohb0uhgiCJpKzhXaXlspF6QW3Laq+5ISk5l
qoV9L6BxY132gRuw7uVRuaSUAqk+zKuelOF06CkcgQtfGpnVRzP0oCf9AEeJwxFVOg75ZGWtxh6Y
ssHeBjP8ben+P/bOY0luJMuivzLWe7RBiy0CoSO1zg0sM0lCOuCAQ3/9HLB6RLF6qqz2Y9bWi65m
kYwMCH/v3nNkZX1ZfAnKSPMH95P5Qjo+a7WIP7x64ITLhAhpBY4Bpialq32bCoM0SE9l7RFpuq19
SuYZj6TjzGzTqcYXh9o1xoeEnmhylPlYCxTFqVi2rRY02lPjV1R6kWMYrx1ol3eN+R/4z8CUb5hS
spjTe+epJMohwBY7ltN4zZrKU5LWiBhZIhpT4u/cPIV6uKER1linYmAjs7MhUL531aDLd4/+ub3V
BtanEKQ4Gux7yDPzTnNLm+KcGixtp6mEUaBQSzyDoR9zc2+nzWBSndW8d602FONpN1+A7KUMAKOg
sKz7Uk8zJl+523Tf7Ewz57MSsGuOoEQB0TV6SQVSCwD07gr4yrd87gabAh5yMB3LuOye4MIqdegb
g+abKbXKiGYaca8JdnroGoPMHwRJT+tYMeLTPsmYNsNRzJTdwlwMib5z2PJbm2Yu6M/lKpPeD1fo
sBBZk9r5l/LKSbseap3yC3xmKzv5QdPll6bvEwOYjDvIT0WJn9lB1fYwesLBTZeDwxUvvzU6lEgK
cSOcj7lfJoYzrgGjdg7GtEKSIjSAX6AqHZCEqYPLhoKrCKveZgKVNr0NLGIWzZNhJnaD00UKJN7T
gKhBBouXbB0rsxm/DxQRwxrCtrhyOUfRqM7gY1YEBH4K3Fjlrjo39ZvcrYYxzXc8+Ol9y35zwP30
wQV2IEjCctRTqHZQxs2rPE7k3tTfcstJ1c4cfgrmqt90cxCDnfZNeVbfdUjP+p9eOvM3TR0L+VVa
t6oiUdjlfoHPblrVdsNPyx1hMHuBBAgPNEmC7QJWEyw4wIzU6M6LK5KJUTpQXWalOYkB2fbTVkoz
eISEycAbjRC5pRHSzvPkwyTl3jtB/ltqq6xoPJboyNjaIYho6dPiluKYEIS2ZhkMdR2Q12GQtngW
laHpEGsLjgsHEEAoE0kouP03cCvM062h6dW5KzITsS5vqfp+xqZHozbhPXXLonR2NrLRUxFlC2Vv
cL8Mlg+TC/xkqw8qv9YmaMgUc0dyHXmXOPIIcxACbFP7EhHVaAW3JZszGTWdwZ8+560FNZnKxUM3
saO7192EY0wD8G/ar4NzFTIcQzgyy6KZNq6U+p1GvTU+yQocAheKTG5ztxQ3nMg1FkfIfR74d6z2
mX7SF8pxmSrOdelzbzZmVcfQg9wR+WHup8ZxgUxR7QxZ+w98UiasRG3EyDYnXgy/yS2/dw1UrbAa
TWdde8VBtuGmU2Unq/bjT833ZhycnCSgUeeey/Jn0OSnZjLLDTtAW2wbqAzsJqDz+rHDnLlus7Xh
ShvjihS8yoA+Fhgv14tFBNBauKs8d16ny4gdhPk4TRVnSAkdGfpok3CUUII0LLujxf2QPDoBeYNG
1jepZtbvou4MhGwwwY9Bk9V0fxUnIUB2+IOI3hjLs+bxNr4zuxRLWUb+5szF4YBz1yt5ZZMJycK2
13udIm6sHOrG0EPCWvpWsZlaofhLdk7y1OdsD0lBj22z0SeiKN+zmmvkiT+mUxNBZJ3IF4ig1euS
zi7rFKF7/TlTnZAbYXhNue2BwoAWg1pMaIZfBtpcNQTeDWWMjFlbH9RX4PY2DIC0g0ebN7qZPKAm
c9KtJRK/Yidowu1x4NfrV6rQPBVRdrb8Te1rLMqZHps1I/qqpoMkafpucc1p/T5goqLvljSLl+PM
ZmC4VJD3iWly48m2k4mKbFvHwey8k3IGiBgWg1OMR8FI2tp5QTNnz72OT33bwMuJt6sCLb6WhLJh
gVlF1eqXgOUEY3pMc8q/I8cg288YnHL7Y8zZy+1xozgs23k6rDmhWWaHRcFqh1UtYVysXnjjEARN
+tQWCTsjSJojoDPlI+xiP6vhpY8DJsJZMkPadsmVdmzruh7bne0y7NWy1lGnvJQ8jbzODIj09xkY
UqdyMXx1vDtZj5lu9Rbe5go8MYs80zhUNuFMHs3DYqGOc3rzmI+6z6erFeMAtX0c934NVW2TNasH
r3ILnmEckoGelFhThpNDLqUKs4mXsjnVHJRKFWD7sGH+d91mrLG3A68tbTgtPLf2fVHnGaRWr/4x
c5v1iaalyZNnUHPdZNwp4rNvea1LnqfBjarp5EwinnTBFUQO8qMNgyJ2D3Az4GLMbv6U6gb6ocVS
jmLtjsR1i0J6/XzLBhi3WLhGfOx1POScUlt2PBsWkJuZ5uzttmsuVgJKcxvQgLS20NgtEDVsB557
NWg3qml8NzKD1v3h80PTQ6dZynrbuW6sb4fYjDN0tgwNph8G4b+3WNPd4ZEV8YRIL+b9c6MB1J/D
IXHadjvy6vdiFbHzlTm6rC4FyumVNVmBjXAta5pPiH3Qa9mVVuxrd6yJHDmExJjBr5N4gK7OuCH7
ETzlbZmiXQnSDEonLuxXuC9asPF4lPL+ObWm2GlV7zFxiGvrwRYCkE1iWx4YXeAaaCJbj0O9J0Cl
hWpYHPbvysPYS/GeKx2kjfNYunn9aXvxmO+bJF6YMHFH1TdwwToblp/mgoAOSMTceRVzHZgAg/Ku
kax628kAYrslkl+kG0LPzQncHlb02qqNR7erYW+mS1F9EFAHXwZwPEDGCkJLg3zasDtQE52cEHtR
MYWcCaqMV4TG+tY3rWeCbSnZUBqpMKwQG7V8bcdiQpBTLoLhYVUEMw1pEmyh4S4O3gmyGAYEgKXw
WLT56q63+JJH5oDiiBxyalDkVwa5E+I8IKQdV9nPsteTYMPbGiQrzjb+zlES91dnDxOnF5YcfxF8
tX6dGHCQMlDMk5d2XX3t5P7+9KazHhkRO6w4Pl56ThCssxWQCJOHJlwbu1iCOi3YzzK2l8gj25KF
iBbm28UA1h42BWiu3ZxxM4kwkC3O3p8EliHblV19W1KRqu7tQSGFTDmxLTsfdJN5TIYcSgmC6GFL
ZjmL7zhqJ9lGzBWAbAt12xs509R7pAtjHbEfuii6e5k822Y+PeeLFQc3c5kZOiA2vhd7LcaAhhDO
hvUrWtZDb39+3PzjR0TnlE7gmiT3mK78MlRJoZzB+2XN71eG8cSmFrhCAG8kdEQOet2e+8c//w1/
HRgxJzShATDs9+k0UMX5/c9kmHNPL2YcmlOpl1/Ad0TEoYP35Hoh1fK3fy+bmREbEptynGezP/nf
tUcMAUNH3KwOnXYVHTQozfANJMfFLaq/OLb/8dDuADlYh6BQYhDk/DLDCao4U45IZBj7EuBGAcbO
z9q/+Oz++Ju4umn/3BOtWx9v/ef/a7qfAyAirDbxYpIimha5md62Qo7HP//U/t3v4pkeCymuGdf7
dX4j/JajDYecMEWPfTAyHAcGeNP9n/8uv9QJGUQhRvXWkYrnByYY11++CA6xxYAeGNEhfkj1iljQ
J14RDbfeuKp1tI3f66q5jTNjMZ+KCYDMQ85RbtlyZAebTp/TNi88mRr3OPfG7B1TA3LmJvbEFER/
/mf9d5+Ib1Adg5Dg8F+/fO5WIDXqruvn7nX3ljS0o9Jq7y+2Kf/2NzE9OsoWez1mgr//4RpDMJid
nJlmKo4hvNdKmgGzlH/ZkvzDFWgxj+ZbypKNhdsfGtFF5Q0NzpSGXEZHeXNMO+DmDZzNxcZm+Xcv
QQZ0sIUBFbCC0Gm5/f5vlS49gytnaWEqLu12KTVcLr3/3KLG+Isf0h9Gddy/bI+RGR0Veiq/3lhM
u8UPo889HMCkD2mDjUeeZvlNltbJVeyydifkpf/dy369aVINYMq+rnCcX4pQid/2pvJZHtCqjCOS
rTVsSr7NP79//786/4fp8sD5v1fn7x/i85fF+foLflucW9Y/PcpZjm8j0QpWJ9l/L87NlV1tsROn
6+4xt+Xe8i/EDOJzBu0BzZv1/4C/YP2R/ffe3F/JNCbDZLaov63i/8be3KBZz7f7f8bHjksQjtWL
5XosY9c25S8vIFzOWq+RpQnbAm8YDzrB8TYwV4qUqbKKvULqr6oho3WTH7xATi9Nh2jZDnErJ6MW
ZaM3fpssQO/73K+SBgicrk/AGYbM/+4w1MlQR4lEpNcl+ALgqC5zyecsICpTRkUSTMcF/6bxbgZQ
1W4FDgiiHTlDCg4Gs363xIWVHAOtYjIVx0taXSWZhpQHB+yClLsfX+lSgplYtH72eb8hsbmgxS0A
RrZmbrRDWHWTxURMBnp7NkvOzxyoR0XcUEDfb+5o21ZEHEELaxDl1xn0tq/rHqR96lXF3oViyuy4
Sd6RlWUhSZ7gKuuG9HFBxwA8TlcPU+t3hHyy6bVRpTzNQeXzB1P9Q8tAfpfF9ZstxQoPq74BEy4i
czbGM1lTDl2z3UW95jUfFFUwRTv6ciQhX5JdGDE1T3V+pev9jZbx2lua/Rx6gkO0EaRqW6STfaiG
sT/jDakijnVvM8H0TUxN+1wJ5d2aBBu3ua1/Vm7ZA5xt+kM1keRFv/1CKms48+IznFJbr36kk9Od
4FVZ+6Il9Ymy3ooaJWvGa6vatvG6V0es87eOEsiKEEQDTgxVWjiux9rubrrSLUyQup1s1ldZAunF
0+RKKMCFB5KlZ22k1+0dUugleBtTpk/nVZ3JObWCSwu9sCU8it2AvzyVqY3ZWWSjNlabDDf5kDGv
zZMz8AqTcXwhmvLamWs8D4BASI5TN1oPpS0Sjp7ppoNwlg4EIRHqLlVjuk8mpSIOFt1j4bocBnMd
nbDPiWPS7LUD2i7bXEAdj9tmWwUDgk0k3fwKG0eltvUROQX3ZOlLd4drur9SOfqVKTbHu8WG+bnB
tNtYDwCCTD/sCVy+Dcza7IMluywmsEyy4QqbVJ2d+IEX3sUovc9UT3X7qFlxX5wcieU8HK32naRZ
/1C7lePt6JaMyb5MKKIcqGzJQ+lXd3gWkOilsvu+OJ1zLNjaPBf2osKcCtAtW0aaTzPGa4sh2Sao
DHEWvgbMmPyvipzaqkAZjtm86xMMR4yJpkp94QzUM4LRqQLzN8V7diw5W43Bw641ljMOaby8bnD0
iQeat24q/S6EHImN03SXiz0k95YprxtUYHs7775bCgT1AGuDZHBjvWj86+pX5S9NfZbgx71II3t4
QkwYVxQg8nTtX9lyjAAPlC5UxcppziVE6zbKvFKbKLg4Y/414GcNNnrvXWt1TcG1HQdibmztxorT
8pCyD3Hs9zl30iyqZ++LcdSxGJS8cIMyyPcuip9pygIG0GrSZOq4rh9f7InTFn/Pajci6Psc5soi
1T8CMta4Lq3pG/cC6YXt4pV+5HcgPYGw2767S8SUiZDaxOq0WMh2nrIgAwpHWnWJ0rFK28+BLlRG
naHSmi0T8dyMAm0pnJDOv4MyXPfj4ID2Is23batx/lz3YQl5o0vHCeeOixe43yzqK0rv/V4mWb5n
mrC8zTavvfvOZUPuDUqPiLV/AwIZYP7qGQ02tn5MtZ7CD82AJxRsN1rdKt41pNqbBeTJuS+/w4Kc
adDM2s6MNe9MNcNiQpfaJ+zZ2pffZ5Q/2oSikXJchpYGuf1m1xoLHCWvUQ5jsP57kRRBZDALfm+6
6kXhwdplwptPZVNjTWHoeDZYB85Lzd+7wNtTWc63cdKyK96iGXmMVbPlq2G/0FdgPT5ny8nNUiYk
P6dEQz0lGFDsobiw/FoiuO/qUFb69yCr03vut/El8BdJjWdi2pnMLoxdECd7zxWAO5mBhp10l3dm
z/VO073l3XbXbCNipPySl1V55LWsuPNbuzrlk7gxHPPH1Aj29J4f+yeXWdtFdA2MzanvAPc75n2x
+P1rA/Fhz53WP2bFkGAwkvGTNdFBc7gN0rxKbd7lZjXeIKhxobWOlKA2lel8MEMM3qwZkCOxqvF2
oPB7h/J3b/ux2Hn4Gw9TmVWHQm+0iwTtHkrGZ6E1unyIA/RJ/iSee5mG7kyh37v2RvVY0Y9zIgsx
gr21F+eHDzbEgXd7zPGy0JuLL4yzoj6m5tTV9aGW5oc0oES46laj4MI8cN6JpqKO067rmPxOTM05
AZeF+2DaLcE8ns3MWna5lLTrrO6Qtz0i6rlj2VNO3UbPnB10auwJ/Nh2rT3fc+bpw7lwI9zs/cqp
RPQD/ZXP334O7JF/FRH6zTzawT7NvORqQrC846nP3QJE6cmdRLdJbC35tDH4nJZlMffOXBRROnj1
lQF636sFM+dgdcM78xdR5PHOH5cjDcbHVs02WhnzxpHJYZb1+Eh01Cx5oq/TU1zP+9jqf9RDfVfQ
u4yVTp7deldoI5M8Pamarl/as4Od/Gha0pekGaOh12+Q2J0QFPCQdv2dlWXQr0rLALmd36decwny
8ZT6C66CNqHS0dfP5ugcUk6GjqIayagwP7leceZAPB+nn/PdTFXz3qyXpzyTSODqWewcT79lG8Hf
ZULQBDSbDA5P3rZ9o1O11mgGN3KA2JMNmhl+Z25acF+y9fu0iIPHIgCTC8R9fi21JnnGdpdpG8tW
88JKIzEDaCBk7CIMlMyvA5l16XHJBmo6YZmyDmmVW36Y1nIjK0fSehJTZBFTifwBakbXL1yGVd6m
X6ylyyPrmlrvrozCAjtOYAIdAMqdTSrmYpcFhsHNutDP9FkEBit/jgJ2NKsmSvS0UDyRuXuuILkz
ZmEdfZL4PNJ7caMwu6l1idefzADBdVuZbCbbOSgj9jYQ3etAu9Mq7i7srSAVhXaXC3fPQW76GObZ
FxpFJ40XyQWNAjRqFE5kLMjEXSWWOXgvA/jzYGt0Q46bZVDJrU716mbB53Hoksy66THSssVNIFux
WSMPRNd3yI9jwJo5BGFWH5VlLLcBXpRrydQ+GgqgtMtE/B0HBkXdnh+6KYyASqM7Ryou7W03ZsBg
k06/olBhhaXI22i0h/6ZKXl5N87FXSsJIRSJjoXc4ru78La/H0w5n52Bwv/s9PcZTLWGuMedzyv4
xq4pPNnVdLH7hnCclRQOIrKuQnMiHhJFirzrDLnx8/ZZd6eWRHpwMXVkkpOdiq2qbT2qwIjd8Nai
w0mprkeljzcJF/QGM9lBzyw+/Xj5nrjaBxCP9JR6Axl4LzvMLXMENx8/HD9nFasKrFuAbY9T3cxR
vJptw3Eaq0d+rMMbEx910ZLga7IXHKyNLA61cl4kovlrjkAWCHgHT7tbPWA65hE2e3NKkUi1W7vm
7rrRALdk4cIJdctVm16YC5NgGIA0H8ppsCAklMvD6CzFyUotK5pN/6o0ZmfvuFNyHCyeJQ4t5Ud6
EtWLEct4P7oe+YXckNEgM3Dy+Ux9fNB4uAbdt7G3kL5P8lWQCdxAMX63aFJu3FEXdww05dZgvfrF
nDG41P6ivzrEBNOk5t3PbepXgnn6hhqrf79M1YOeVeK1y/pv9OCPJfj7TYAd9k1Xw47oSXYoE2F/
1oWqT44m+3syde2W3lXyKTvP+0T+3N+0qW0/BUVLV9wABsebytqDGbnEErfuHnrwOmeNghTdnyHo
f4Bxh2CPyQFurI7OufN4ppmo0V2z8d5nM+tvygaTWOLqxDnqrNGgPpePs8Mf2y/r6UEfxmOZ9eZe
J3T5VepUWCg0aW9o7qp3VTTptp6RnRBfzG8GiTZCmba4Kf1Zf8uEMHc6WIjI9KsXOGlEJK2BvoZf
7+sx9cKBBRWmdnAzvQ2dCPo0O6t4iTe1tyynUvfqPXuvbI/4a8pCnVI1d6SgjQFiG8Nedr24C/ou
8mG+b8yyFUxman25Ldw1JGP32UnLtOIJF8rAKoyUJRfqfSoLdZp1lkCMyu/SWbeiOu2MaMqJvIzs
Rs4kCNgkDQuNR605kgfc5n0uX7NWN+66tn6kEtGcJ/QxCYmXsHCxjficNQ9W5xfIgSxnK1s5bTQr
CT4clXK9+f2bb0/prTAS9wzb2XzAYJFebB4dayELhFWWtGwU56e4Dk7FSOEzr1PrPucVaZdoesD6
eyojt2LCOJUtzd3ECbJoruL5cRjy1N4WvaGA0VezvTNsDnwzD5pvOQ47/HYGAEZW8Pcc0zldxl6g
rt2i+coLNMl9blHDd/w0OTfoiS4Vu6lThr8h5AgjQpplq09Ok9xB7OU2I/RyRpSWXXqjuR/olm26
0eDskziMAeh6XBdNmVz5lITDhEMWz0c0srHNOhtKfXBoZsWnMbZJlJmd2uWFdO6r9f0nG9lR2Kb8
0r2YK7QxIrpP+PxinQ1OzOV5HEeeqaakL2W16jnHPUR9JOEc2o2Ss7esDzPTcR5E2RRsnMn+TrDn
Nccp/bSkLbGaxu7DAuzCJz8v56R1Pw/K2avi0P/K1/kY1yw2AHAT3hE2q4phkHTdCVscbZmXW8Gg
oI3yAF4/x8GYhVAb6NBzdMVAPmWRFcSTdbKL3FlHdn6IdPWSwMbf0869sk393jTzZJPrWnbdp/5T
nQ2RoUOZkoGPx2DoN1ODqgptMJ9UFdwFsYMeqoePtTTZB3MSwVOfnag7F/aZLf+hr3L6dM2CHqx8
H4RN+r/plLoZdHrIZWZuFhyqLF+q8gzCHWGFsfjlWH6lyJQPqdPhuFWeezAZFryzmWSjWmrg6sWy
1+bgTPdXPmhunn3C5o95C5q2vSaLB5XMFzzP8hIbWrFLbE88Nh7hBcdRz6oPxpue5wBJnoFFXOZ8
+FK7ro3qC5Rd9TFOqr2UM2xxIhCjfqgT6a6zeETLGuh6WDH+yZNyq6E7eUlRMu093wSbYbjO6zTa
+h7FxKUc0mnDTcYuQ3OxWPLGVnsY0TgcOIS/szrsCbZ2ry7lNL4iMZeFVd9IZWr7CdDGBUvgxcOt
tWXLmO8c9ik/7NgeH12GOmGQs/3qg8ELiXW0NJ2ouyZZMR06zfoaRMmq2BfobsxGRxRiDOJpTe1y
307b21zJ7siRDQAbw2e603kbksghBW8k/omO94IWB4lM4JTdzhWOsdFrXYtACJLLIU1AYMlonoiC
VRttWmzc8eNyZ9p2eZKFyQlY/7FgZtvRakl2tc71EAE3Vg9yXr7lsdmG/gwgS1V6e1VpgmelT2J1
qs2K/JtDbM+y8LTrTRv58zCdzSXQ90mzXLMluIyz98LrES/ltlDXskZi1pWtfSEHU29AlKzOgy72
3itaMrwapj+mmWd56aM4JZRdYVSe5NaLA+9S85ejkIf/OnWesbs3YQ/bCYXKAjqjpz/rZBbyMHAp
HzBIpmvV1OXBAfoUNWJB1d4sOxj53iVbcoAftWl/R7mjbXSh2Xcli3quHrLwRtKJqzpVNP04/p6o
LpkPGXyAnYIJz0hhPdchvEMu4XMmbKTW7jGU2Jyrucd7nDNAyWC7kWMa1S3NZIb94jDHS3NsGO4f
jS4wNviPfzCBQkrs5A8KVE1Yjs4KkzdjIJHVdDcUrUEuKf5hksk/V4PlHoTpwZEwcp0XfzhZImhv
XZNMXD+baLPdzOEZqMRp5P3pOvA7E7eyys1QuIw7ECqgAbSZaG70sWs2XD/ORk1Vf4d/u96VAqgL
IcqA8WipsAn6vB3FYxATZpi9aIAXtIGf9sQDGk2RxlapivFqQo8gE+BW+qZNtXeeeNrWlKN+9r2k
PiYErHYid27mShwl7IWzkUxy39bpzPTU492R+wNn+87PafuNSEsLPzuA9W1CQubG3mrUhDdEGtuO
6NVWOOqpTqZnHL1ou/iZvCdl+1nW7g211hasiTM+d12g1u8W1kJsOXuG4DcT5q6ocO3vQNSLDaDi
YksUsNhJzcM6Xc7TpnXH5gQHOrvElsuDleTAbVHmTF7xCKhkGo9LMs2bgV7mjgzvB0jB2DpxZu/i
szmnJOUG2qL1vnBJLF7MDgVdA9fEwR6Pl/42BiIA7yyP9SryBpM4rCJzPt8oEsIXQm18si62wRn1
aaNi5mbBkD43HvjiIoYRSkU5z6vXCXUOJ2h9skioucJ/HRcFV4BedPlSGqN8zAa+bzQzkdtDhsFf
F7WJJLeRBxNnQvJl+kTj01IDD8tSSzhXQmYcSF5IbnlKLzmljHP+IHWVGN+1jnHdHTWyUTvlbW1q
PPQsC8MDv31n3nUAKphANVa/REYQ93hyxtY0T41BoTPihdZIz3J2rGHrGBAeIm6axnLSsOognU/m
sj3ZI9dSuKSumC7C1Xua/lps3sACmn8MhBNKhl96U0WT6ph+ZoyWb5n803JV2Xxwq+RRLH2+G2aX
1zRxFffeUwmdZKNKBnDJWLb3VeKcGtv4jM1qDovS6Mj9FIr6mvdt6Eif8UUYSTaJfC2fz/REWVO8
GArYcJEz6hCIlHdqWkx7ayICDmXly6sgp0FbbepsqdbXcp9evFYO+fMUsx+8M1Vf8X1oSSAHgkHy
RkfTc58xQMq3Cb0c8VC1ozzrDIQ2hWJsqdpEvNAwopwvRtlfjRJFdZoaB1MzGtTFkNpKc9G2PDrr
52kYXspaPIrGiz9av7Dve2JD99KYgTGl82UyeUV0G7d6oy/Nu0XnPEwJiJ2EmySsKzLG+6aX1a3o
UnksAg0mS8/I/BnliHe0pO/smjxrX+n3zj+suGr2npnlc2hJdwVgxK9ljvss6ciT4afCPEFWFn5j
nP8I2l6bNyl3DGKiTq2MK39qpQodlDHfJkBk3EIW6cwfwp2FeUAEUppbXsUb52D1dprs+dIH+XOW
qQCBX1dP6pgRqmkBnMimtc6TmTvZlhQBGTTSVi0HCJPFD0dkF8F6VLHcJLI4oFUMMm4IYTUNqt6B
1RI5koy6rx4LEqcTM7WCdaczbwkZAzwCQzkvS3NIKAooXosSbxwvfjN+sAqKRWjys9l1SwATaImX
7dIvL1Na3zKaPiWzPodmankhqMP2YCxMaoWe+8eKlRJHdowl1Pz0EzuKDIRt5vPW6VTj3q1cZ2cl
jLEd7nYUjMCT9Yl/FQx6fs2+A5pCSrWqbW9KQOtQ9iaBs9FOoOko96DTPr5pHfRSkqHkZsh9MnPc
3Q1n4xrIdWIW3yqUSpjnSl/kOwkR8teQKi6NYWdbY7HG97Tx09PEiJSsTspU1mEvcenEUu+SPvAP
Pi3EU487st+NsmslP58MGxK0M9ALaVJokBqBNhatbUEZSnWTrHelk6+Ni3syC+9LEhsPLAagoBlH
yBGy3zlTSn+8bae90fJarpOR3PAKXm0H04VUo8h6QQqZzQ3PT3kzkNIuw8UnWyiZVGFn6izm8Tbx
itBk5POyqABwXKIxxp14vX1z6T6o+idUqnMv0sK/yLcJLWzFO0wuzfqqm5buc5D+TTdy4Mr7DJK3
MeOW1afpRNgPPE4izLu0tq7doNX2bTfv6d5cN4U6tNINzgaiODgPet7cBP6A74rtwGZUxBnbIiAi
XibSWHkLrH26eTVAeN0j7tZrth08FDlM3zUe30qdIeA9WfYrt8l2xNxOJMT2LfEJwUqzems0ErII
iD4c6vmRbbNlSoM8uUdX5h6YAqR3JY33bTDY5t6dTKa3KX9oRETb2QyKT7nkRxUMH5VM1ucFE0pK
zmPINCDukjsh9emL+614GShJcTU2+B31+cbWlAMCpfPFRmNCELVWwRQJ8P546GXrQHMJbCPUY5Ef
zdGwDlYOJQFZg/nIVPb76CZPwtFZf3HdXRwxTwcvGZdo9ulWBCK4dmMvuU0kP8MwW98VSqdvj0Mq
/GMzsWtqEeTSO+mAxAwC0EVnade9QQLcMKQ4T1ozblMc7JARJl97KP26eRiG4j4TvMTGtT3sfHab
YWoUBuQGc4Fp47Sh4Yn6SNzwpcotKGCzL2nFjOJKaCaHwLilc2urz4RG4RbV5LW3fqit0XoIhts8
0oU1R2ha91Jory1hrMMQ97y+5fVzWgiIL9QeOCWPH2NuLBtf4809wifnhy63kDMkZnGVdOhQwIh8
VZ7Dksaz9MfK51lgFcOV66SctQyxHK0kBrY5Mo52IekzKruu9ILZcTVv3WnU3j1yl6HkpnWCAyMi
o19EFTVFmj4ONk+xM1nYob2eFa9JaP8AJp4F0/74vW1BUGy7ElvmuYmhNw2DYfPctdRaC0qmvTZZ
Zx21VhsGkrfdxh7dExxGM3ti8ZHmmwIprXso5rEGg6vrafNJUdQ9E/2LXSatppK/FWH/P6nxD58M
xf8d1HhMv//H/g9hjfXX/MsHZBDWoNto8R+SGjRP+Uf/5QNy/0mB2OV/x8rDu6NFIuO/hEDWP32Q
gA5Aa4gJRNFgAvwrrMG/kKwGRVBycA69Y6p5fyerYf4+fuWspVJmCsSxAQP4JDd+CSpJNTHpKMs7
9I0jO/E5998r0Tp3lvAYnDZOHlfyxjayLnjEsqfizaSa4FGH5vdtkSV8jkT389MifTiTqvTLF2tm
kM61nAfHUtXWC1tLU+cQoHOwSrPlvnaX4j/ZO5Mlu400S79KWu4hc8yONqtFX+COMc8R3MAYDAbm
eXDAX6dXveinyBer71JSpqiqzrLc50omiWRcXgAO9/Of850KC72j0lPXG75xiZQv8oNap+xpGkX3
pTeVnPfaWtSIbh8P3VVmpEKwwpc0lfZI2Ez4xHznFTzWETwX+SXg9czuIaMXJcz8Fl4gHTGEV/IZ
WYb9huKx91gWeF/PaqDYMI2drRdk9Rgyte9BGE8zMugqAcBtW133444/EvtE29miJifBmVk2Iv42
6JJ0mbIKQhCANlPIsrXZxFFu00oZoG4mG3J/a705Qx3m3eDRXxvGiZogOBbDTNGqRSkoRpbz9MAo
lvmxFaNzPU4gbTZdp10khWl2AkxpwPU3vctqvmGtZKdDg6ORH20nXZmBMe4gORGw8cxHf4lU5XQv
qi1KGydHZ7DRIuZBB2yfZyQ7WqusI5sYDiuZ7P3rjBEzqkjcSmq6FSWNB2rPCotZWurmIeYulAwg
XSkpxDlgnOZo68OFcZXsAqdFXEyyHihpZzc4HBim5YIkjTLgG5UFh1VZCR+5pZiYkMrF0LSP5GAM
nweLYCa71WLmd2m3GA8mkFJN+zNVPsipYChoSFjGHX3vRRIC5GurLdab5X7ORHLiJWWWUSkSeJsV
SDCSnA3MAo5bJl7wqVFW8muU/d+L2l9NUvv//0WNl/SgvtZfWcTQRMb1+PEfP37Hr0uaBZ3FpyUH
0sa5xIZwz+8rmhn8cjakuYF3Jpo4rGl/X9AM0/8F5zMrnX/ug4EwwTr4u/3M8n4JaGkBDWDBJAE+
EfxLS5rt/GyJPBsS8XVTsoYDDXMaS+vP5kslx0T0RIPwP+tlZkPUD8W7kRZYVBwO2SLEVZ4MkR+7
tryhHR7iHMTWQU63BCqyDOCTsZpRYyY59zpfgrjKKgM3G11kvPFnG5jmNq2scrpMJmwLJzGy8m0k
J5bxCWKlJ46YPpOXbDKX4eCRpomvAuadX4XSXQWXLmW2Vxmz/MpZnJ0R4LzbeJHOV/p6EOTioXjN
/MbdecpDCSjS4s2ZsarjWqjeA8bV8JMz7CM0iV0zGcteY0YcG0qtObLTO/ti1G75hS7JesvcvLzt
cQKEJLXGrSMWTjbOubTQ7vP0FoUvzsKVS5ptVs8wQq4aLDXhrwZGGMN5tJa2u4H/DgMLG0ZyNxFt
vaiCzN1rTy/Xfk1B0qDzsaQlePC3Zjrb16YahznkDOIxVB7eAotopy9qhgmqN28H6lqbja/iZtc4
ut6CzGKUwghy2euxqGCad7F5Eu40zsgjsBYHP87ezfPxBKXp0W3rlPPZkhBfpIsB2J5MDufo3RbW
lnzKZsHvI1WWb10Zf/ayfaODh/7sSasNl3Y6DabnhIr4IazWwD0anlnuca8XT+yzsQQ3UdogaaAK
JuauMUojSvFO4diYAJsRCt1zwYxzLmh4KsbOvEmpgM6a4imz4U2Mq6THmPdo8gzuML6AaulYm4Zt
8Uc/YyMy+lIfTErgOF4gcFxhuVnAGnt9AwaLaVXKZ+PFaHrtzTDMy2nwuVqEN3kxNG2QHqe4R3l2
LOMh8FB/gsEkreTkBUqX1+yDNNU7sNpIguh3p7i08JxJzHJ2YW3LOQv4eQxzErItQDdJkxf5PvEh
sAxnYVDO9lXdayPyCLxcBp137QKyvBApeee8XI0wHXrChaWFpdhCpUJbq65p4cg/tEMxOwLlVB1L
vIJM7dZsC2que4ZbLO51DYqwC2T6bRgqdGBt4zuqoemONcfljghvCCPooudru80QEo+cfH1Caro7
1WuR7fqqumS/0B7qxERPlBOqaaJaklcW7wgyeS0XoSKXxAAA1xpFyluv5/Wb4md8pObMvO/I0+/z
POn2VrY+WVlwpj9Skk4aKV0jTHCnCZH9Qhuk+mvL/KI43h3Hyk6ocgswSSSUt4dN6xWRonH4hng4
gUEceJHAoxSW6OOMbaubEWYk8+ncvmLgEdwMSa2vsWolYWK7w4XOGJ2jbwfOR0NsKlzPfUFDt2QX
Hf0eO9MfXk1K0bdNB8mYGXZ9BRRvDDn/PSfkWJYLwr3AS+Emj3K3cOlPiaBbZhN0a3tcEwf7Tgft
NCCNu4unZHkldRxvdLZuK3pzNfJFXH6RCzNTWuGxn/Q1BzQH202jE54tAlaYOd0bTD+IN0Wqoron
F0dChtGx0ff5Me49CKcg6l6UN9mnDgzFBeEEMMBDYZ8aM94Kv/+w5uI9M1v/tlundIehKAsHBEQi
YXUzPC9Vrtc9dEIRnwdCICaxVVQHQ9UJthDinWp6H0wmsHvP5EY9K5/Lha/q2IzoZryGJMwRHgq9
eRgB0X0tnDWB4MZeifyedxUTiBZRXgq432nWmfc+E9EWWjX+k2JbzL55qd2E1ceyB4dta8WFvFvQ
hRmOJwDZbWU2UT2XO7uZrhbmZkMj2oPVt8eyLG4MOt3JuEz5wcLYsTcrO8Kr9twSVexwHHn8jEuR
zcz2ICc47Ymt4a6lLiMHacr5bD2IMr1OULhxlJYPoz2Sy0boJFAYCbwz/N/9YIJiUDH/3hxKssYE
gb85BI9BJBjSfeu0GS5k7LEf75sZFrLV75jsMXmvCLDiIs7lRZvDy3OImVX2RbwwOSfAGet+r9OO
cCoghqG+liTi/B4zwEyHb2Lv4BzeYBnZ1gqoEELZtM5WaDA1M0cGlu2C8VMMA7WyhHpNu802hRHf
oyGwOFiHghfRVMeXqmwinK+3IzDNZRTOIwscJdnYmWMEvhQ+gIL/FWJ+XtzQh/zP+UIxrkWI2qJL
3WErQEyS9U33o60tfyiqYteX/R5kUs/QR1gHNArnuizd9MOAbKhPWaHMOwzkZ38iQ8Faxt5TZyV9
sC3M4onTU3oogaxucv+cVtcexpSZxXTXqwyPVFAa27FAaOoT7MvuGHzi6632cwXaU9fmJSjMb63H
koKJRG9mjgvhjB/tGCzqPV7ykW5pMYTL1NtHfA3xjbeAxETt7zEmNqdFMoZZUpKt5+DULsidE8si
wq7qLIDfA9zTvo3MJj1gIb9p/H4NJ0iGUYHdIerspGXA73dbJc9P8jh/xBrHWrYcfVlM7xCdor4J
biqbQgVmOz0PU/PgivgB78YQsnn5OuZgYUDg02aNiZrJDnJf1e7Sstup3Lg2CbFflT5lfHmp7mbe
i4Fb2+FCevhY0tgOUDyJltk/TetwSuLhTiT2ZUcHkDbm8iAnXMGyF9WLgtB4nhOqw9gV9VV3Vr6w
47lMMeG+x2M8IFAES7azuxIbLBaVtxQKaOuxiAPOT6atX8H6rRD2PgeTxjqvqqotsIriNZ2E8aZ8
fcWbhHPoJPEvYnhwvoOEPDGoso4jWPItayAEFZdTl+85X+LZkttETObWVaJUm8kvwc+n8g2d2Q2R
8x6oFrA2zGGAuZClgQzL7J7hHidC5TQVY7ipwTvCpNbmxZS1+gXzuMJ4U97QzrAhoGx8GfXAGmij
u/f2JabY/FQOCGLKeDOzbCexxIepHHbp0tEfPth3rq6s64omxmpCR64s09gbcDvQ/ozPoVXOVaLV
vRbF/eQGiMeMyQqTgDvWcAOVeEmD4hMcAvV92vCi2Ca0lGR6n4PIPhTz7EfEvxiaMkJhUwecYSQL
9DRk2CjQmzkBrobajKb9Js3qk9i0tesAQWBpbC8YzgehqroXhvdQimdMiz11iZSyV/3Oaws7i2ZH
oHPKtG+v2ngpT5oMWsQc49Gy2EJ5lYPMjksPE4jGHS0WBmOccGfzPh3kTZ67sEDizlzpPPSH28H3
+10xpmfUwFhGXWx4+0IWzQeNGz0gBZGuT6YYkWQ9bEzYYfD7zrK0qeBIzqCA2iC+uizjXcM3tgky
pyP4sYhnK8bkD+bBjnKNgLgaM/8+qU4bB7MIKtxhiVMcgA8Y0Qj1rN1mXFPm0t2Mul96dJJ3VXUe
0KW4CTcYYey7erDLL1hH+YF4DW5iMqlXo4u/pVNLfE1sWd+ObantA93FGCKoJqqvqDbpvohFpXT8
MVkpfDHxNlrmY5dSVLBaYHLZGchLA/L5prc097ZvFPa+km23Y+PtU1STv+YVGZeNZWpzP8yOeTGY
ifM6rFAxcogaDFbcc0SOXnOZZrcaxA8DmuV9UZN5KMDf1rfJeCY9QECX8zNlCEaO9yn2WbQNT500
FO5lL+a8ue7Xab2gUdlwKaVfVjEn4QDeZ9jnC0XrH4urh4MRZOlyZY6m8ICxyvsYG506BFm5VpEz
Lf1TKgUPDGle8+sMYuC5tGM9hzB23cvWTw3FZHke1b7yk6T/sA2yEhtVGFz81bTScosFieohMeHk
vGqapq4vWKtR71nGMyMy0NZRQLKG8wWehbHEljqKEXPXKmLS4/Clxc7yB3wRTYYl86XGGDPcU1XC
JUlhEBn3y5Az/3AIbjAzXGocbDzsntdtl2Qw/JOestZ6LZbWdA6tJ/EP9m7sU0KX1sOXZTlPYgjH
ZH1UzHmSHn1eO9YtagieZdo3BqiWDv5Ozmjay6et9kwQgOB4UhHGYLrfHTT3x84y+vnoeaw0D91c
xRYlgJLXtN95hbqswQqgGPlr0Z192T3aP2xlg+AIGae7tAqqFmMiUPuj7m3ZH+asNLHt4nGDKkTa
/0LFbLdtwsQNiCdsnz2y08ZOxiTqa4ODTN5k39ca0hFGxOKdjD9pLG3NdzGTRTyztXeLkk8If9LZ
jutDTaM/SGQfL102RhMEZwUnvV2suXzMEkos/BQ5yIQoZIBBSbUHqJvQQOEbT3Vp3NhIXqQCvGNs
D/6hK/zIzofmhtcGxQU1p9kq7V/zUuIMnuiPaSrungL4vT/gEZsyxob4UoNrdHGAKY2EWjPIg+PN
z/Vidwxz6aeYnMa8Bf+VPsTCeygrPmffVk94fuEIx2NYxOe0GHn7fFK3Y+ZEqm3NHRD9C7PoYz6u
/cjcPsyJTwEDKJ8VyRbC7gsO3KA7e22cu7Wx3/oqOHFKiENCvGJjtA1ph/H72HjbpVmflQqumbK/
xNPqINtNC6MSN3/mUr/RRHObNi7HPaP7Wja3zVgc3Xr8lovmwOj0UuvKPcz58OblXAAMaNWoIyf1
w9lTgAVaqOqQvKB3Gc9M5e67QezS2byZzkMqynNOcaC+i6D1Ni2I42t8yg8O5LFNKarbxFHkCror
s7OWENZEH+p2xhY/XMS+dUuxYbLBbv0JygoneXEq4mW9tO2UXejMZr5ZtiCj2Bh38x0Mydc1kF84
nasDfImj19lr6HuckHgMPdHitXxRdXaouk+4uBvgFbel5FVm21t4HjsW3zlUwvtSjvoinUrEwmCO
Yj04Owxxe81xIynlO04M9uTrERH8baXWh+hZ9ramw8KYIztCbX/D9/rNaWrrAvfXF/SP44qrJGGR
jKo10VurqZ4pdxAMouc9guFXIwZra2hmqnQvqN0slIOdsDn0vAWxT1/7LdCFcLb0V+jwGBLqnM89
VyGUDOc4LQCKOuGFk6dxejKJiyz+JGuo30xxrrDh4ErhY/nRZ8aOBkp8zyzoIU4e+r/FpfSNKG8Z
LRmo4aC7qL3dCPue9NNTXbh3Qz7vO9ft7wgScOKXfMvSO/pBdrTY3UpqqTT/vWip15Nj+YDD+TBm
jIL9mjYd60GwdRdLco0V83npVPxUQrQrszjyLX1tB8WTDX2yHeUpncWxaY19pvuDr71Dj8U56gd8
5X65TdRQ74WlLmgYOfTxepLTyNm+eCqxHnmy3JpOcqyD+sGSzP5jVZ5MagvM2ckuA2Gextbci8w5
2oPB8G6qw3bKvkPXwFTaaXsvHBJ/a70lJnAPDX04pCsPOO/5Di8UIALzHFdCoSAEdiu1IW9mr7tB
RwHwM7zCC/uI2RhqXtFko4r4OrOd6VIoZHze4m99utoXARiaAxSCqE9ZMfIZQhlF8yrKgbfdKsXM
Hl0d1V4M3pZz1POymHaIa9bZYBstIjseqSpIEwu5oL2gHYP6uZH5WkGuqazEgzd0W5nDC/SGK5nF
j27h7rQKgvspSdEtDPKi4ODCxezQOYJ9NRNvQeVh/OGcTERvOL1bpxiNAwIPbTs4JCzHfRg1963T
hrzbkqgzugvNOGFXrOhJyB53JElOiFucwlEoDxqO2RIb2yyfaV2p6n0n/B2xMKyVjfsOLf51MIKT
T302ehMPSuaDTivqazu3w14Exy5huSqGEZe2f/JLvZUVluC6PeYy2CayPDhwUa+M/rpvustKdQWe
Xc50I3FVx5RREUAqceIPPHwb0dKI0RJhwaZO1mmdn7Eiwf1PXpjrcMcO+4FXdsOZEaPDLes11lli
CW4e+SP7+Mq3jSvLLe7jONhBHdyu433Z+keGKU/C0tGsq3uLL5wmG5xOnNZq9ugmW1Kr2JFRmzZC
C7RCSks2jEMdzuZa7TiCY70uuq8ypWNiTR57xVE8K+koMxPjDJQt6IkT3WFurO9A4Q7a1J+yp51h
KjI4kF7JMx2ffwCeKuo5HjN/vkpMPvpAw49depi+V0ySOeOF2kUTFGO3yfzuY+7qkyrUlyJPr6h9
22FLjIDEvPRt+WYGIG7ils1K6yHM1E04GeqWRo9t7Y4X5EeuFHsOH5N02zjPIIswsZjZCwnRm9mE
qjYNF5iOr6Ex+VdkYiF3xYgYYEtBLhFH9Vb3be2dm8JlwLxaQGyYDrLil2PYj+aRjcQzsLGdaNiK
T80betpx8ap9zAAG71liH+NYXYpgEGHnIfVaOAU5uVpPSdxEIylqDnMjvUzFcpXryYeIkj1IUb1h
TgqibBG7QQ3rxswEkEzbPY1ube5M/G/7nIre0sS24c4Q1ZZpkpAHqOVhI/IGMhZ5rk3UrnTOw386
dDlstf2preipqdM6DZH33icuQZQFyidXMRzYD74VAyltk+SeV3ZxxJa0DechuKvy8qmO8Q2/Bhyj
2MpmzhrocadLrModf2rWgChcQGVxMQ+ySgC6PVRDWpXm1pAtTlTCIVlv2zgm07rYaVlZbWS1Ra93
iu7G+wGskr1jjJg1dJiRA9iXce486QpAPdcDbvuWKbv5WLVEzsPMKQ2iU7Hrf2rTn3l1ssIOHLlU
/NGAOJrpmhzdT+aL/n2jZ3XfCUkMLw2Mheec3RPZI9myRiSlM6FwtgbJNi/p2zdlJ2bB4G41MGii
iPCmq1RxnXkts4Vgtp7YOdNVZ0HAgy+5puvr4p/pGUwmDGBv1cTULk9ZJ/iMMnuylhiCzhAPNqVe
Nqm/EJgjsJsCKoy5CyiJ4Y5ocVZ1e4r5/OGYB41nAt4SZyN3MUwI+rXEE7021Rcrd8Y7JXt9Yy4A
r8Ma09Rv7Jp/D93++k9nbv+7Tpryp4kbv/y3gZvzi5A+pDnpOoEUtCX8feBm/gJiwYdq4nguv+bc
hfA778H5Bc4x1gMA5XgPTCKn/xi4mfAeQO0KwcENC4LLoO5f8BB4fwKrEL3+lUPBZ4QtAUHi53Fb
k4oRGgrFzLk1ij1TDmgDm4qtwVTuQSSK2yqe3Yd1yHI3yjFyHRcjgHNj4Q37SEA3TGGdyuprBzYX
E/RQLK+YwdXN6s6oLZljNZGlUvWCONE54TDm6toZ6YC7KCcAusDjZw/yL8zgb7NjEP8ODLyyAGCh
AIQdh2280Pm56bwspuAhd9Hszk5usYTSadYZ1TFw7X2M1ha8ECGr/Y2mMP2xcQvR7xyMAp9JIZIK
rES1rFtKVmDoUhSZPa9r3jXsmTN+gp+1+aOPPdAPA5TSJmrKkqd7iacpj+ZeLES53UI6oWtb2H05
8gtyRrU5PjsqS5ZTq2iN3g74qGkVSBqstxt/wepzZRR9uWd+hlkwUvigdLVRBgnSbdVSPPf5hzHv
7a+Ajj/WW//sBSHgCHnZ468On9SjmSP489y0bbW1et4xE7V/UwhfvcRoK234z3/Kn2+XAFa+tGRg
OjaEHPHn1ne6MsdptswbRe7RjozG6apD39AQd5hpv8v+B5K15/wMI5GmAEbPSJYScQdOQ2Djpfkj
PaquNAbsbHpnIe+RneyifKX3pvqaBcHQHHRmNOkp4IzBG3rwSFVYXgq/bVl1j3UNHNEFbnUbBXlM
1VveSyeNyGUjeX3npCPN5jVJcLDtW2rFbpcCpyrNVqMUbOLXWF7YK32pG28YMEzgleTeSxbIjxva
Z9h3Zj32RbtfasabVUkhQM0w8iowU2O85cDevMgfpkn5w0CpyTsCeE0cMySaC+yJqaYLNABminyM
lQ1YgDQGnk6kJbvfCdlCNPlh/Vx+2EDL3lbryc88JE+jrWxz5+bN9CHODtOVe4s9TC+JCvEWPk8/
MuEdJvQECr4y15B71y3d7yPduiflniMRCls8uSLKVedg3OLx13hUrI6BARGlxlpz0B2p6d70jJNh
gGLn4TBT6OqdowIjzaQbIR7QlwD5wmGX6ePyr9zbpaYH4ZR5Gb5HW/MVcBIuivcxmWnb8mYvoxDJ
8gsRgdjCSeyi2sIkFLb11UyTFZghkBZKAo0erXVImVzvyBHV1r3WcKGYlaS+2iz46a8HMiHupTdW
sD3JLcangcpDiHPsEwPGkaUkFxU400uKtxP5rvdbHONsJPyT0+L4D2l57S61SsvqyOFjeuxLF34m
83jHYlNS2C96hpAEAORsq7Zy6Y1YBgafE55Tpee/laQpGC+VGk+jIfkqPDdYHkhogqlOk5YhHTq0
OJ9egTnuF8y/Ll76PB6AxXaKKR3wCP9k1+A/EMjwFRJfXYxjOrJBjWDhZi37M+AazFxS0me56kS9
nQidkP5qMvO5SObuOyb+4nvKVJURhzGNKU+j9thNJX11pEpscvFKDjghWfr0YRSufykDTPzITIIy
Ju1eWzmNjac263NzJ+0cxni3OCIkLe6+2FIvT4rNFz2katy2y6i+L741vWR8ixZ+4B7TJMCRrKHR
hCk1LNxqohaWnu1hW0J/vfVksULVRd+ot6peycCYk5zTaLRcnMDwI755fMcvpWEk7oVsA0i6eMoL
GdL8MRt7nZBmQeqYRpdzUsLVKNk2+ZHIGsKRMNjVA3NYbNKtLQHxOZzIJsKfdc0sdFIAPeWaFbtR
+fI4erqj5gsDOKiaWp0TPW7/hMV5Mbe1bfWPZlos391J2dZG2d5wdBfTSPbYZ3q6QXkf0h+2IIfF
KyfwTVAwbN4yOGkcqNRefNeQnc8POXINnNdKAwtr1pKxbeJlYx+hF8h3aU3lFZSTxbyY0Bc+F9v1
bpRI2u+pbtqeLk0bi4joSxp6kw6GAUGkstahZ9vFEziy/spv9fI5VSx6dEFX8WtbMa7ecHsww0vM
lmVKm8p6COj0u19bsMZorwTgNtYUZGu0QvO+SQSdSFEJhNvflaNv1Lh32+RbnTjtC+W3kG9G0KUM
1QyrDCIt7VFxJo65/9hvZweiMjO+CsKM97GsBXhuPyNXpeaF0EO5MmyIaphCTzGvx4JTLK2Bnna9
fIOH14IaHJTEa5xylpejBSx5+lYvSMSh0XV0O8TcrvwaNVTyMrW85k4MC9PKtFu6/hBwuieckiTa
oSWvqQtLX8SWHmFYTuAsNgCZDCa5GJebTUl6kLydRU8BitvsI2JX4EeKctW0Xzp9e2dhd6tpMKN5
N5Koyjfad1ULytOAQpFnib9tA9f7Qhq/kgeDZOX3zMMGANKUEUffGZhwTWlQ2J5yMj2M9TAAJ/EI
rEQNUo/s98wf2mvK/iY/8oY6I0bTr0ydyyJp0aq6xmtPqc1eIIrTokkiFWdYFQmLimc1jOb3Pu7k
h1u5fKvjmqQ3tmsZrwuATm7y2Mg+82RlqhJzwpo401YBI9mBGfUG+bziEZIgh8KqSafP2rIwmSRG
NjU7WTkCB/26kB0pY2vptqXTISvJjLgfhj7UPXL73ZJvIK9jfJkxG+NcDgJW/2zV9WPaJsa3Pg+c
Nw5uABO81H9p+l58q+OYBGCQDpygfRoVVp5TDqFnkKoaQ7MXsxu1iSDGK/neh9Dv4/wl9w3DCYGj
I7U68wy52RZks4AEVW63zRzHfieVBAHZtVbFFo7pzKbjNH8Ts/zWYVKO7LGcNHfEBYAX9zlhsvAw
cr/3Yby68BQK2uE3HNHim4VaYODR0CsoS8wWw4xSDnpvzP5JMU5U/jYRRQY6jZyqrU7MY4xzBwh2
yYiXYHGr8oFK3WUNGpeaxnS8NTV7ySjAe/StsusWuzvbpM9unupXMDDxh0SOYvCcJ/JVQg1hEl9D
AY7wuSTjxvIb7wNu78AucmlXZ2MHY43Dp1i8R8Zo3tcRT9pbNfLQoWmcZR1RwCrauYKEM5MpTSqW
CKvAzS8D9jLzXM+vFXz/V3BEmll1WgS+QYyx6JYSh7pqyfpDKmnYHhAX+6SPHsWpcAbreuEp+9Jg
sPjm+ooAAO0n2IV8iiSoR6hseq6rsvDnyxarWs87XaX97SCD/HXmEFBv2qzID5Wp1zJyVDd1R/98
MifdPJcDHtCpICldSAr7hphWwW0aS6Sd2D2Pkq020+alay/a3/tjaYwXgR7a9mWlUtkhdJ0Z8z3E
hmAmRKZq5uI2cxccqkuHEqxH7kjyRkvPaaPRsYMg7DqjybDU613zHSsNMNsNePDVpX+C7SUbM8aE
tTvtiy63KDyELhAwDbRakegXyCBFeercliYE3ugyYSJUJwrxaMJOwqWvEBmy98xNU8L2SWkvEDLi
2L0sWxDPij2f5ecJu8Y5rm4Nb1VEsA22EaQNSnp/0PZhVeUKOjoXxg49ItvGLV4EXVzKKTBi+gDE
oNMPqwdGvatqoOu3RZ+63kc9nv8+oOCzjBLxlZXxCJNBkLcw06UQKM6qxt8LdbnJdi3hYGbhOI1j
4rdy5ShTZPPq7wd/6rKnIdCpC/Kok/mEv63TzVM2YYLclUMh4scpr1xS94WtM2/HVsTqD0kw5B2K
HMRj6y5Lbc/yN3AJe+8+0xw+kpDhInvvjaIXAZGm5tOC60J5wYYee83wtPbjFJwTdBSvMNMyNBZD
kTjDlZE2aX2J2DirKxQfHyxqa8gCQD49tbY8xk7fiZupc6gpr0x6A+7aFrT2gzW00ruq+qTE60yU
/hmCFmuaWcSOtynWiu2NVLqiKSx37BeVLiu2hJ6+EgHCjlhc1lklRjRbveJWmOKtuwTzRedhPdwM
RazYntg9b0PqTIxHg731AutGaA+dqMLh7LmjlVzmnj8IFspVM3ULCoajJijnsJXKemUy1+J6GibH
PAB/Oou3jabtIHDTwDqZikly2KVZ32x9my+f++ss7rSjP3BodVaqw3W1NNNNN5YYScc4R45mYNIu
Ef7VsykJ0H22zYM2+WxMMgkAzOqAeF099PfCrTJ9WIH5WlsnFmztVxqCbxdp88mai3yuEodXt4/V
lC17xjFBOWyDuzhFf4VVWd4r052+WXlgf2jOvcmrgXfgtWz75C5palqeEpp6x41Hr/vCJHdRHxZp
qvyWEBALtmsBQNpwi08rf/UGCqNn8vauubW/99wS6cY0luyA9kTlSdFLmBytWEtO3pJUIHkkf3pa
HHt8dnkLYuSHwQbWac48/PTZoO5k0wxgThaSFbig7FJChmn5whRUgRszpy02EkGSPIreq9402yV6
cHlDGLA+WrvEWGkwwGByoN+1n5PWaelP7DbNgHmeJPnCTIS+DvmtIyx1B3R1IRHQ6gLwBNlUzmWA
OXkp5ZUf84iYeNx/HKn/LZr9lXv/D+rCf+kYffjb/2n+8thUf/u/f/laf/zltv/b/6u/Ze33P1rX
f/wRv0pp/i8OmNNzU5/wcYhTGfm7lObxf859dUHAu/ZHIOfvUhoi21lBC3BJOa5rAUn9h5ImfhG8
nLGbB1CwsRi5zHP+FS3tbMT/AzmVHBlJIcQ89BETt7wV/ImcWvJaYl4A2z5zwkCN7VHUmnmocmwc
hFl/VcSWkYVq5Kyw8cspPvoVsiFH5dQ+zSn2rKgq/OqJSWF3i5chgZlKqfWXtZsNTJSyeXS8ZLR+
DUp8W/5X8p0JdbnygP6kG50llF//8zkbwKd2gH8jJlr8EyjwnxnEBUIaBQBvYJU4xsWzad6m4Hry
cCyG/C6x6VxI5VzfOXYM46XC3QP0x+s+4YrbV3Zp444b6EY2RJ/flIvnw23rpHmxFJSDb3xjVm9z
1daPXGhw5pXQ63YUmXdp8iUa7D9LtpWxy1ic7Py9qpdl5072/J47c3YFF8LfUnXCAt/3dX65Nryx
YPNzvNY93S6+LgYNk0cPn24Ry7Clx+cSt4AbTi2w6/9B+vo5mCAFYi1xLhM2LpqtJLz1sxRFfYbE
dsf35I8Rytg1du2MIG5DOt0fmbGY/W+X5t8rw18t85+vDNn3vv/6l8vvTf3zanD+bb+H8wRQZLZq
6J0mEHvGwL8vBwYxO9YBYnaeCDxJ+SJ5ld+k9R8pl4A14fyAUpnKRfwtyUKOhaC2DOSZ/B3wJP9L
a8H5ZvjHQ+X6Z7GfpMyPVef8+fgEf9Qt+3Wsq1jL41QG5teVKnbm1OM0vptO2hz/sGj+dw/wf/1R
ZFZsCaoZzj7S788/aqAwqeu65di7tNmTsLY3wv1P9s6sN24ly9b/pZ6bB2RwCBK4fYHOSanRkiXZ
sl4ISZY4DxGc+evvR/t0l5R2S+2+r4VCVeGUy6KSGQzu2Hutb7X+R7vEby8CXpqBxWJtPPg8oha4
hBGxUvVC4IRbuTVSznTvf5Lf3DR2ahj+tmPhkzyE+I8dXSdVDMfc3Pa75+bAgwT130jCzh9lZLpw
k/k3I3GBI4P9LzhAoKNBHeJwqI5TDE2LxpDD+brOqmbz/gd625P/z8v4kPEtkw69fXDXALMGtYxI
vApb+6aLdbgmELjdv3+R5Ye8XmpLCLctaMUDteWzyIMJThrMoBQGZ+8Ww3TUDS0MZhvrIixtfqvj
ya7VB8G5v34qD8ozoymLY67vieU1+CrRgRAprTtp7xEOFeu2nFBygv3f/vmn4tGWvOoZbLjuwbuU
YwFRawXu78TJ1sJVIWZHiA0OuWJw4NCM//9cznMOFkRe6LmfDWtv0FDZmRCo1y2I7k/03pwd+4i6
ev9yi5vu8EtjICg8D5cbtcfiEX59D2ev8TpCR/dwl8r7SpnJYw1fkyjIzErRwSUWB7ms8LPLkb55
RGSmDrwVliN9a0a88DaT4/aMI8pcfqs51XsbSUCasSfyhvYymUTeLY6dYoFRxM2+qzKzf8hyRgFX
ehSocPKmUdYH39jh00scBiUWp0OS1z0e4OUjv1oW+FmRmMIUjzmHHMlg0OeF8BdCXZh8kD3764rH
VU0Pj62I/Ugu2/vrK4UeAnZOxJzmWhMVeSTXnZ76Z7IsCQhr53r8w31p+WRcxhSAshyGfAcLPleT
1dBW35cJ4Ox56MFT+OOwz80xu3l/Xfz6aHGlgFksix43pXewDMe0QfzfKXyHM62TsgL3UUJa+uOL
LDs4Lz/eGLwPDr6oLoNMmobV3h6lceRIgxbRUFi79y/ym9XgWtwvQY+aOcDhriTsxLA6Wez7tqrX
qHR9IOpAdlLlqtP/xZW4ABZihuK+t9zTV+vOpTK2CRncp/Rjz1KrRd6H8IRQ1tj+o3TqZTvna6FE
5l8sdDbct1dSkymYDIARE9BRIkBT2NXj7oPX+e9uHLWvdG2OOT7l5tuLJG6mzEZme5Qb5Wogg+oI
aiWvEESOH0xXf7PYllgjTzBjlY5/+HEG4g5UOOWLUnyC04llQDuF/GCxva2af94zijHoCbwyfMc8
eDsR31pxsk/3lQSSCXPgvJagqoZCeJ9L0RNKzMzx/v0F8dtLOrzZHc92aRmJt3cwNiNXIPDdI6eN
12i/y505WMV+sRbup6mtaVEZkOfevyilFj/27Xt4YUV4vBsRZbg0ft5eVsqujRwG/o0HC3CLIth8
atC2L4SgsBo2YUYAbNpOHOCCrm6/2RyYHgMjZiqFyBXmLZWsCZivRDwBlgg8m1dpQNievjN9n4Gs
zxZkrmJ+/3Q1OA1e5hzY4zbOGmLOMh0kGs2WC/SuiYVz4WZSd5dpX/XJzsrLrPnsJaVPcJkyTRLf
Zk3fLQhFgULOxdT/4KYYdT+LxGHimbBoaM+DwfvESC59QSShGsSh3O6tDo3qxhhpwOyYkZrEfmbD
HgKwgFozxua5KTrYew1zuwjjcjGcAHykOWT5XRFtSbTtyTzOxuSYPrEPNDINv3moTdNFcSuOyzEL
X+j8Nc4RsKjpLu8cDltpTieZXyeNno2SOUvYdCYifjchwzeKrD7bJLE5nflVW4EOlWGfr6ty7H5M
PpXaQ1lB+lkrQhshccmGL4SOkcUxlVCFvUoJMt5AdCfCMnck515yO+FqVr47xFuQmc5db8Zg+wBA
FC9xM2UXEBZqvJh2G14rNYXwvZIQGfoUAYE2ytH67jDwNlYQo/pvJsM5Yp7pDJw32B0RCQTl9J1c
YhThBI2kKZOfIjRWZprjUp5IQwDkAGR+Faqy9fYRGlwGS0GbAn8zyJHfzHk5fe4cr/sWDFn7GPKA
NZvKiUzYMLPub9JJVsggQzh07TDS192rkdhfxq4DFu8VcgD/rJdpktIuLDIiK6rKPkexY8D7tqzq
SPtjbq1nT/pHulY3nlHl4Z5p53RUq5a8aeUOwHDrvumO4nCU/VrxrH1GqMTsxW5L+wQ4bvZlcv35
HsjxAiLDk0bVj0bfMdKsAXRauNOKwM/iJvJAbq5ccOB3xeRX3UbyRk8wMbacZGqpjWJHSxJTX+K3
zeMURhLYcmzlCc4EL3no4tT93rTEVK+DkEYJkStgLU9RZvKIFy5wo5U1jPlLBJFLgqXLkR6nRBs8
zGNUWcd97YbJLVJt7jaDyiV1syXnduPkOr12UaYuecsBg6astRn9d2wpCzBlALQIRtdg4kY6y3kE
y5i4TdBLx3VUAgTvQmscN4GDFYZ6KDI2aBaNL7YsImsDI28J7sZdJlYAkMCy+0ZY38d9kPAgmd10
FLOnNZC2CUMnpTIxLfJuiL7ZxL6nv3rkxVZ73Io63ExT7n/JVTHWqzKeZge6BzaKrddnwZepM0dS
zlVCJF4VmaiXXTPKWlQGeXFbS/7WCvwlLdVUds64Jfm+eMrGKbnOk9lttoTT2+5FLQmE3BCi4Lzk
E0PX1dyUNf9ZIG9c2YxyKpAwFp8dEGKIscTGVL9K3DJ88hogzGugTORWmy1iql3tNQLwucgZ9Uov
7tuNU4nxKWXGPO5qVLzzWk9iStZ0l5juK4YVA7Q9pI3Bhkl3hRct71tiDMLJliBMI2bEK21ZFkZ8
0bQ/38D/arv8g3rs1Vvtl4bseTUvOCTVPb9uwf74Sz+bLo75l08smk3xKOCImAu84ycQyaYbY1Ef
B5R6/Bentv9quRDh8pcjOf8GJM0gV/zBSvq76WKAD6GVZnEOD2zHt8hd+5MO7NvaiR9jU6UDIWEc
xat4kUa+KQVNmbqoSTIGtibNxcigHVh0fnqlPJJDPzgUvH3d/7wW9TPKHk7dS5Pp7bXwpAc96U4g
c4I+JGYJzx4WoNEGlgA24tT2mfd/cMm3BduPS/rI7mhXOOSEiYU59abSzfwiTYUaQOYP7aa3JwNo
fJx8UID+5oPR4QkAsAg6nvQI3l4llzb9FhfaUoxxH+Oca3m4hny32wGV9hEyuSVhza/W2W96WL/5
4vwAiIzrADuGP3NwzTjHW+C2yLswZRGd4Ex47fMYiQaalC46ev9iv/uAMGs4mljwZfwfBJpXB4Y0
hDsuMp+kdXa0C7sM3O9ONai9wul20iUaV/P7F1y+l39Whj4zhmVqIRGdsEx4fg7OjyxIs6/waK36
IT41m+lxjMP6tOvcL03qBmdF6Z3GwHXfv+jhYlku6gPmsaTDNamD336NcQtDwBvJUh9Ta1qZhYet
LK/yDxbLr1dZ+pwc/FGF8OAvIubXS7JXYPpmc/GIWXV/Ab0rOVeNfHz/oxyuDpt2u/TplSBvlQK2
2tuLMFQh30fX06p2LX1L3TNdZsgXjhurK/Z/fCniGHmgA87fv36exiECJh0oUFKEw/M6L6phIb1P
w509xN38wXe07BFvFwaVNPuVKegYs4kc3L2BTPaiasqZ7BM/3EOdD78SN9J91dS657R1mKZ76Wh+
8LAdrn9uJy1JBl8MqjiuHLZZo9ZTqsaCs8otr70ih2E8xV9Untl1rVHfleTbvX9Tf7NIFuIUh02O
6Gzxy5+/euDG1Fc+wG684GibtkFiU1HKafzgsf79VQBY2eyPHDUPNuTEdRgyF/W8IoEM8RcMls0Y
2OGf3zzMcrhgAO4BrxLi7WcJ81nGM5KNFbBldVRlrgE3NpEnAp/RS9yV6oND+q97B2JrQa+BV6vN
JOHg3k1k8hRVTYSha8977nK/8vG6QgHr0ABan2h6tJuWZKL3v7HfPHGBcOjc0MczeREcPHHotEWh
S0SMCKHlVhPTsquYDOxDUCq371/ql69t2aOQrmPCYYxDh+XtDSVTzejyJfWGQJjmfKAJCmMIbeMf
XsWH08iQmARiix90qI6fDWWmDuAXlCLJRCBhYYwYLlvr+k8vwy5l2ssq5w3NLOPth0FgkzC7yGyQ
XPiAaf/7vKHx5f7hVQIKD8lQYXlBe8A/316FdFzSXRwWeaBSYyN6ym+8VnLz/lV+WQM8sczPzKUT
Ccjy8CoTLQ6CLQq+GMc3TjQMjUsyq8Hze026e/9Sv6yBH5diKOdTUCFLPOiGM/BOpiEtHZCJMeLG
qeiIQ5w4GIjt+xdaNtQ3Gy6iXQoWd9lrpU0p+vbOIQTq4A7OaMdqL7TY06dW7hMSEXC0yGmY162Y
soleg8zbleFgCVj5Q+qPf/x5aZEv3UrXovVmHzaweV7tNEoQp6ZjD+95CskiPRJ2Uf8dwvvfDvd/
/Q4RZi3qB67ncp2D5xi/dhFpdzEcgrjZYY1Aa9TN3T6ya3Hz/q399Tuka42IYvFrUOUchol7s+Uq
XQBkavq5/iQNp9xXmR9/sP3+5ipOQJq4BCZhsdcfPGBTGXkD5gu6yX4JcSuzm1XZ0ah5/7PQsTtY
KLBeJVYaPpHJy0T6ByvSTdJ07uVAlEsUt+M25/3VbBkaqu/Sb0P9zcAQBYJGKurTTZvUIVolpUMn
OoqaLC6vPd1IuhfwTdk+SZJFjy0W8akAj0k+SVbM36Xb2zWS9CnTz2GYVwx/QoeMtylpTH0d2U0P
Doy3MQnUqRpLiAeYC/WJCXoqXPwRcHmSE3zuxHYg9+onV64GkhWc4IJNOppAPNM8Sa7SeATUPCBt
9OwN7zPVX7kjfmAgbMh5t8jzO+tKygQ2jQVlDw1ovfiIFTg2eTTZ5L2ddmlTo82qIMEiAytwouqm
/hQ6EOy/xXqY8nOU+HJeQdKVTGB6j56YOVVtAGIqsMrLOXArMu8wFmRXxjIk2lkN0VVn1NtTsQjJ
u9FFkpbWwVFfDsVY4mYmPeFEZG4lt+0oEvdz1YxhvIsJqnDW9uySFUIkAPb2DJzEFShoqIxOMrMn
unUD9ClrKK5WXebX7q5zG1HeiSiMzJOqdTP7lpT3eGbiO+okf8jpuQBX9wlXWM2RDQIGV1JXALkj
XGCvnV4WVLdVRfSnN0R4iHGbrTH/CCSyo5XcmjFI1mOfvHWo4RPssLUWukouCTPzbv1Y5NO+mgnl
OYb8bb/M0AHNTY4AHJYdeXLoWBkokT3YJAWGD8R38VXUZTScCgmCf+NVWV5Sh/LTr5AIJfAHC48U
ILtw8xnkP6zqldcVeXuRxaYXnJTwYi871dnezeT4zXTcNE7phmxmxRAUW91H6aJtNvOo7TZk9cTG
I+zrDkbRbJNOcaFTp9CnA7kG9rY20l5/T4qJXEV78sO1XedNviq9goOZw16N9l4k6Pt3Y0Eg6nUN
1il5nLRbI4osSxOk4ta169Zu9mTGGrgPmrAyl4zfQtHL20Yqxz2M7ygy+++BDd/izPFV3jx3KtVY
doKsDeZo50y2dYEav4xPGMPF47bXdML2/BLNU2b6pXtELE1yCbpWEefiNSAHqqQ1TqMhkEAaKbCL
6lJZhtU6HPlA6T7NaQgDEQiUERhQwWavfzQZSQBr6IK83YgANiEWBrfwVmWVtujHU03ikyaT2V/r
0iPeQ0NzkesZWF10NeY2GSpEyvTB+Ui2AyObqKi++zxUPdMbnuEnGEixA65clact1D7ileAE5LvB
r3v/GPeFZW4nHp5hgzq8v2gxEkenYwdL4jPhbJ4DSjEVYhvjlhBbyybvZLPQ0uEzEJuN9ojhQr3N
UmYTWzxyhX8UQ/Yg9BdW6pJJWHMbyHuaKUlwWn9Cm2V9mfKKbFBAP4rM0MZg2TcyJpjFx/1d7VtB
vNW6tUEErfGUKFgqKQGHpGXK7HluJRpS7FN4EuqiQvCKeaYcvrkZpoLjmBNPsAfhDseOzmvkXHaw
V72vVdV1yecBBXN9DK3Cn4m+HLqIJQQ2fheUbfBVuW1ybtaBEW3pFVbPptU10Xlc4y7FwueUCYBV
erzbIXL8/FppP+fohHV++YK64cHBzCZRbFfxTTUsMbillgFAdR7/i2wscQV1FhniMPIrOwV+CIQW
WgQH/v2QxRZhT03ck4XG03hXSQN7BPaP4qrpNC3fbMyNiwzUzzUbvxTr3IY9f2SLnl0D21urV3FR
Zzd1psgiEJE/6qNoDN0Gs7qf1p+mEBoJ31/rNbsm0S4udNvw/W3tpnWCiGLU/s6xGFLQHU51eIfh
GNPhWKnYOsMkAPLBGqCNVOwXzr6y3DRdT1IkJI1EtMG3ZUeMtpfz4lwz8Ru8FwYTIE5oy5ftKSMP
TVb6FA9iozoiMs88BAeERJVQqU7mwWpcjIhmF6x5iU8g+1tEjFtHdO20M6HXE2IctnT668Y2rJVF
vhUxu2bVzicxT4u1A/MHTs/vyrE9UX2kYWB4tVvgkWrs9Jh5E5CZKM9Tcdu2WsebUToR3F1e5dNq
HAqOvyNNIWoUbwrUDsuc8LawQeUj25oyz71KRmRUuw5JO73PCKLGup+tY1k58r5P8z7ANEBm48nU
RVEMHdxCbGX+ANeQm8UnGSLy2zc1bkycfzST522gnehuCi1aacyAyKAnZpAk2Rk7RL4mrKBanJ7C
m9azVVMU1oGnnytDhwRTJlM+rFlQHjV+YA/7kWzUYtVPMRaVasjcaAcx27lPJj1cp1bitJCPPB7F
PNfGp9oI5ZJul2LDy3OUQRuR9gEQugz60GbCbTOyd+Gt28m4V2LTqzFzAFjJ9EUUAr80bXuk/fBa
p0dsyCDi0LoD0M20Aiijiaon/tS0Gn8T1FYDwNCk5743sXPDUBE959W+bsp1JwZE9Gy6REs14KK+
+i1Qh+OEYKxu28TYsZGVD6G3llUyXdH1I9/Ga+rFySSM2t9VXpoDucNYCjuzcb7IuS+JuGqgl6+a
KDfTjd0Dsl0X6Ornjayr9iqe50zy+8QuWSWk50GnZ7SQATeBWbsGdVIQQjVknDgR1VV3glcfj3w5
493tlZb4zFxlf4+lRhluDDZtraYvm2zl8yYQKGV6Bf9r5mWwwQZbki45Z+UD3A0ikmqSj24wike8
CnKhTjSD13htGemQbz1YuFsZ9Y28sBumqTt6C6NPgZSrNU2SKARGhyRAbGvy79Id3rFQXUbY3KJP
U5yD4Gsjv2htTOq4mE4VSE+bCPAIzxy27yo+z7J8xBupQKOTylLAnK1QmKQXTurMJHUSXjvuZxj/
qOfjybNOwzYLstOaWqIF0xsIAHhR4oTJiWd3ER5hI24wEq8qN4QCCaOVxLPjCjtHG50JIJXukx4o
FRZXipLRhlgglXpQ3ukCgaUwbKe+p2zBk69nBECIMYYw3DhEQO8TXojNEVIjz90ztFqS6vKFyBVx
OKzJm+yahHdHCX/J4SR4B2M76k507oO5J3HAoitcyemKtHAFdqQLrBwnf4wBk9SKbsJMGGEUpfGD
SYWiC4VajBeH26+4BVu+GcgkxGI1Rx2kuCvTIJQT8b07f61iN6qowXEYbSKtnc+6GPoTF2wtVjd2
qLMohPi7jibttcTgegZvKGbpRIe3YdDfdZGw7ybOtiw3EXTWDvYcjADMygT6EZPcRhgtglmspQOR
X0Xed3r9cO4qkCMNnF9bXcZIGvDU8JvXbIC8GldGVxoXpkbAyJIvQ369aqJF3tNTYMJtJeldaMbs
IAYG5gleM0Uigjzkzcy40+5B81LH6qwAAax65u8YLvNw+KpSn5DoaBBktNZW7d00KXiULfHvpA+I
PGu9FdFTibmmcNU9kTO+7vdTYeUp1ltV3riGsA0oLeTy7Cj75KVnRh6Qqxwm6NpO4vROCJy+a9/t
R3sFCKvce2Udku0OPYoU6270P1vwRYEDgmtRmxlsAsrvWPVY5QVE0miqeQxTlTZw3NJO8r/YsiUO
coqfqkzTMp19fClY49zhpcRa+tVLUm/vhCG1lJlZnJY4C1TNOoJwdDZJzbPqahiQvG/aURPORhN0
hWsStpvHcehhIMP2dC6dsdgKYO7A2+DHXo7sdPUtYgflAWmVDUupmzDnKnJydoUrTWOnYy/zdrhg
CiTicIDIX4MQAEFWqAUHOKXzFbGa2PECXqZnSNSj6CROS+NWeZE0b2tfhAOC86z/NCvHvhyRG9iM
fB3jc5IGMYNys/ew2nXdGSAI4kZbd1I+u1pdPTqQQi77jiMjJXYGV74RnmIw3cXYKQurJOKB10EY
HgmnS8fj1OOgcUXPY3iOVFm+5HXvupuCTKBiixBI6E1gjeXD6KDH4JXr6LFZl2E/WeE6i1wYUito
04CRVzVZsdTV0VClDdTldAy+kQ9Y6KvMNKKZXzHOOrKcEt+ENQaYqoVmJKYIYEJga4HOsTRynkqj
Nhul1hRA/Ik0Q/ml0ON8O0ger20O46nfAf0lm3BoXfeOoOn+xuEoqNc+p1B7Y80lHCnVpUuOdEsY
2W4CInw6zhTtiPVnjiE8rQmLzuy8eBoBbLXxM57ahrApMpUfRjyp31PVkuNboZMoWacGMKXaUPB5
8D8BgmTLKE9dL4xBVGPraNdhWXjhlrhBKmBorTap2rb5pQfEF7HZgtY7CvBa7NOyJKhb5aN5UTrM
wfkearQ5kkr9e9RBpz2Sfpzd1S7uq03blvkOmluCY0/MwR3cEaO+FJk3oFSxmY7Xj7AZ+vEGhGEU
3HNvJ8ivxqAmoBOU3itSkr3buNZBRsAwQ1Bg97JNIMAWfQ/xF4bCaSE7F0OH6AAEUAqWOfu0aoMr
g3ZGelpKA7M7efEG9oK+MeG+FeqJcGuHvY38bawVbYdwwbGIIdnSbKIgr1onqtdYxjgp9M3o7t1h
BjuqqDeJ+bXG+Waeje4+8gKArEhCrTt/cr1zkBFAi1QCdxghILzGgQRkfO7aVMh9WP2QKQ0FI9/v
SPOCd7lQvGgP1+1G6TTKCY+rCWfw8r58KoJ+ZudjSjuuPDcdrHWHwQ3SAX667RTD9CavsyhIDIG1
8WBgKk3OBrJBIT1PvtQQZ1zSFyk1us9Y95KK17Q/XpRWUwTwApUR8JInU2RuEys7mss+U5yeDSM5
ou0HFp7qFv6cNQ/eXsrB7elF0HiGK2Za6qJKYMciJSHY9qwnofmu1D7hL4lXL9ZlrHM3RuUVqLF6
it0FbrHUbnmqTxOy6qDjzkb6hZJvogCNeYeiVXB5+NUg0Y5rpwSb47ZWYa4yP+ggQnaOfpLVQgwg
YaynzyOtLD8aeVdj1PRztsNqDCK8k1ERLLb8FOnPErtyrwa2mVUzoczB2j7ntwQlzGBso/FZFwpc
ZDQmuj0Z6r7/zroEVIb4TiYvM6wMdWRSGxsnIZk/1qprEfas/F5bgJ9115ZHPs6HZK1QY9k7Tr2m
eV8UzpwRLJlmaqvNdn4ckY2wwxexdZmHCRr5zJj1N9vxNEVTn2hfY1jKJiMEaACUvriGE+jwfKlu
So+GmpKkuwA+N4kNrBBBEsfMSfWJxkFa3Jup1yO80lbTEupZ06ZaKSCn7U1GGYcRvR6EZ9zljpnE
1wwVJXqpECcez2kMQRw8LKZaUp+9kYGLyoakPgccPrxAB0S1NqEeY58WIadliXUZcaaXnKHsCp9d
4K0vFLfdN8DpsSDWqO7yl5RYw37nSUroleVVgkTFpk6r6xiEB4EDud/GN17LsJougEq/Qob5XMK0
0BwiCNdcuSwNHOAUuynRnFg04k1Yu2LPfb5vCutMlfpTWTkvnHezTVzL72Uuxm9p4BOjCq/oyJPD
CeGzO9sAzOgX8PwzEA7OU+Q7U3z6bzWPUpghF1vF2rDKTd8kBg7jEnmQK1JwdB4xsKjVjKb9RlvC
5SiDeYnfuxncT//mV2OoNcc/Dugl6agRQT89g6K0+xR0tnXNycxKeKJjytNp8JvLOqjGBezSZbfv
91J/6aRK6TMRsRBkogl3DwWg+LhdVqZncABJkUnQolyPdRhsGtMY/7A5zMGQuQszJLQEaMMXg+Dr
OaM7Eow61wOyLyPJiFJNx43TIsx6/wMdtqC5CiMRk5E3YxHEMQfTlwYbBsGlgCYRJ+oTDkHlGcIW
+4Or/JBZvB5VcBl8ibTSmYzZeJUOZsNN1GqH8HRSQwYjD3fgLinEw94pF9RRNl0kreNfDNLkTJFF
yrj1eeG9YK2h9Hn/8/7uC8QYSMN9GXg68uAX6d3QsQBQ84vMolsPrQzWhokNuiQwcfvjUv9SXv1j
maC+E9r0XCbla83V8n//KbkiTM5xwRshnkKh7fgOy/Gn5Mr8S7I2WCQyWIQzi3XtvzRXlvjLZl7M
BNKzOAfhknjlcxNoiJYZ+Q9rHFPXP1Fc2dYyQvrnOkXMgnIBawQ9PZQgv05WmZeFPaRy4PexOyZH
vat9h+0QjU25myfh7ZqxI9itj2dYlwgyGQJue7aB58GY4aZmQzM+OYVFWEsMqhLodA1PbM2IgmKv
QQKJEMjgRL8ZSgWsVM1KUJX4fmZx8LRGxp+lb920o+tdxLaG65gN0ZxDdfcVyTSj5t0xdFgezjMs
7w5UXJgXa3PgR+5nivJq7YKghKSD4rA6rdyKDozT6ag7JuVYxJepMrCb1m3K2IPTMa0iacQ+lFJp
xl8FgazdugkKzz9phgFyfY3/H8Qp6AZwUnW/G60abNkIhhHQ1ehMp7DLaTFWwktJXyGu6kXJJP3c
MWzxtvwIdK+dEqCbImtM451CinXjlBbZAsrR4W0YNwnwI9AFnNhyasGVaHRzjRiuNtZT1JKc7OB8
5bxaV8MDQb1YUslk0vZ2xHhWohCec4CrTmO94KfUHfy8LoIAMHPiO4oNbIrbMTVoojkd58FPRdmn
ztpyQx9EZeim3Y5KTz0GmSBGD0m5QMfLcYqWWd3VX1plF9XR2Fkm3S6nj5ytO/cV1TYArXXE69El
ZaQ3ZrAecHfo+UzhtBW6acSR8Je4INtwLAnWkhR6qonhPElF99ybpchPXc2p4BPBCCm5HULnHV+D
m0/HgeLgse/6gtgHex6YB8EgAiEA02DisNrFkui9Dr3gUel34csUGqM4GrmjdzD9Wxecc1zcV64L
Eo4YhrT0ARMoCfmKqO8c4T6ohqNWtGm0nhPZZrssIdp2XVAGNavW6YtLd5QheJMqSL+x2DmNygyp
FKLuHt2QbFr7vuLc/IChzHIp/mgo4MLuId20nkssQOCThkCQSsSIiTSFYkM0s3fm48XON2bTc0bN
RUZ0bUhzADiiIlJ53WBXJPEGB174ye3c9qmh53Zt0pW6LrlBkp/dx7cU391119tVsIMOF0FSKDKK
BmJJ/e8MTpyv6UA4ylpoMroosqb40bQ64wJ6CsO7gBSibGX3/SjWQW+Vd/1MIwV+ClOCXJGqe27U
o71vrSR8IRstPnX6PPpeqkl8brHHP7S9DTOCWJjwsTVK+yWBJPFNdL064Szi3IahV34z7alRe5up
gsVjA/9tV7lMLLc6KMcT02voMFHpuRDiHJNp5qbtZc7C5IEciNKpkm+wdCZjR4AEnLlEixjwdITK
aFX1PfAOYygC5rNUnHBnmpS/ShowrorIU12/tqwEOZkKiNWREb0+XLU24nDXyi8TXdokpNt2EW9q
y4sfK+zvd7aftLcghKPrGKJWsVEx8h++lql7Rs/Md91aqrmIikFc8vVymGus9piBnn5kcNQWGzE6
+nGxzHJWSDgXsTbsHrjlYHCm8RvpPoN1agHBMTkkd7gmJmqV9Yl139pVe9qKBiAPs10wwLGPK55f
OJIBMcpuBlBAdt1NYrZoJj2jscMzpgkxrQc47sHGSlNPr9mzID85RttOn/x2JEV+R+6czrcdIWRx
tKYBCryxdB2bfJMq+9SYXtLBKCC8YocPUz+imKPfZTBcdeDMEamxm6OoOA9ImvPOyGGCeOzUmng2
r7TSz3QBKwiFTKXrI6+Kje7YVjPbI0omy96mkxIqXXd5lY2MnspebVoUGzsNUSTbhpHl3RZWXQGZ
IVvSU7eLKdjkLOzHx0ayhFrQ+A7ioxqbSnxUhJO2vjIdtaanCcXbN1tps2Z8xPa2B9dQXQZVTRgJ
2llyrqvWILgpAxT4KSYDnmkBqH3KqgF0DwYLobAjBH37EEWMKbczPeeSPwxJp+QFHpsg2LP6NkEg
fR+FafhF5LDzWeo8LKEgo2Vg5nuBtSsh7mJcQqtE3Ls/rcv/qpH+gfgArSyqC06hlC1Ypik1//ui
6T8ep+fkddH027//s4paJLc/qyYhkbBTtJD8gHoK/tOrosn8y6Kg4uTgoMlkyE8l/LdOndhMBH/S
hOm0lFVoef+kaLKWI8Krmgnh0cLaEAhvULYGlE9vDyoEGrHi6vaeI2vtbdk8PQZ/jY5MxE+QBmF0
ORXd2eO4oRui7UmfUE45ObgJ3Bf+54YxU04vTffsq/dVU2ny4oYk06D1c2lOgOrN2JFPf16cf6qf
y+tWPz+35w/1/1nW7FNVTzpBBPN/3/5j8/OfYZAsNoM3/7D9EUx61T3r6fNz0+X81Z+CpuX/+T/9
w7/jTW+m+vnf//FEXAGEs8/PjBHe1NF8X+8tofOHTiftQ5k8vF5HP/7Sz3VjOKwWLM0B9l+WhPQl
Z8qfC2lJRcUHsRw2+QZRyi0W178pEywyFKILRIJTKGpRjz/6eyVZzl8Ss/7ihqR2Xnz0f7KS3p5F
3UUExUWAS7MqeWTEwVlUeG1Q9V1yn/iDQk0yhitaVR/phd8eAP++iKSvZzvYhtmJ365WpyACCIne
/eBnMZh3cqpoRRgnZj14fyRs/PtK2LpRevMU2v7BAT5y5yAPpuCbNeVkmTLx7j+jnqiyzasv+fLn
g/YGefPm8VsuA/kQFTSjHM7yRNe+/UAzFUbqKffOpi2EQNMsuptqivuPpMJvT0Z/XwYzN5MHAAby
xy7wSvYMrpQ3lLLv5phJSkoswNfIpzdM7rWFdcpod6GU9T4rp+L8/c/3uwsj2kW4i7s7cMzlC311
4YwF2GnHvLOLNNzYVrHELjU0U+eMabiXFWJTT156AdpXfeCQXnoB/9zYfn5kaiXk8+yRNH4ONNjw
9w2hLeaDImrT27FwhpCSoAFNWHXCMPetzXFg41Hi55R7opXbCizkRz6ZXxeswKFNc4Z9HpuMffBb
wHQj36sWd10K98tT0Y2qjWidZfSd37/Rv16IaRZoPJMBKsLfQyU9xVs8ydi+M9pMEd0JCq3PqPCC
MYqO37+SzbH84NZ6bD/8zzh4OfbzLnr7pSI6MgZTxRfzZEf5enIScj0gfPOc+LgerxM9cCTWACCR
gJANfCKDaGpXJu48JusToThIXXoEO007xOOmrML0MZQhmLZOe/ZDMSwW08hqdUmEoirDDSHBWbXt
eUbgC0+z8FdCJz4pH2aUe6e2Kk3SJogY5zw6F4yBh7CxnnAcYCgkuD1GjkdaqVjZVsYpxsASi9BP
2RAHDM+2STWyrfncd+fuLJnnaWR0l/kJ2UNd/YDm2HbOGyMIyyufMfJX8KqzRHEzEsMk0v/H3pls
yW1ky/ZXatUcWmgc3TSA6DOy7ydYTJIJR986uq+/G5Kqrsi6enqa17CKIiMzIgD4OWa2LcZlINKU
03NmWMNN3Tiq2Yl29CaKIn2mdY113IMzlMUUmChM9baeI6TsYlwy6O9EOr4ZNkmxLUaFfIA3aLaP
84AviY1qq+XAM+mqOtQwh491VEPto7uvmoKmtWukhKVKDnEcC2x7KkLCGuxpHh5d1EYLsRKwAv6j
ZHiXWim/tfDpVoo0OUx9A4zBib4YrafHHwp0yv1CIWF/PSjA4sGE/8dhv+5MOMQQe7RUNqemNy2p
PwgvlRbnX54z2l2lIIdAaY0mUNtgYN22WbLbyObhPzKYannu5y7xTKzt2paiwBbZWazgVQ1XqE0b
7FtdV0lq3ZmLqL3ioI920d2neovTapOnOfDGh7HyUe/2fttQbdlbKuuTc2G0cAl2TAv0L8WbzJZE
zQHNaHElqHSf3aX3Hos8bjgp0HaoR/Shxi4qTUwtjC2nNtSMrIIWFjpm7DYvFL5aCEuJgAaAD5KC
ahGRyIUiIDeKZVP/mENZzKaNpRft59JaCrsCm/jGD4apb+voarDiUs23sIhSB3uWVVttunfSmeQu
2EodJOUTvqe0aqjehhtHz1xTW3UoLF4q2RQJO37WB92UIVE1enEtfT3TzwPkW31Pv2X7Oc5reyjK
v3fxpQPFpzIK74VDFyJbL5z8e5pXZvyJn0GJ627OmSbaJgK0bMaDdtOvqyu2IaYmn2dcoE1gQE02
9247FQvcRHugIS6145sJsu6yMfCOvE10Mrt7GgfWbX4v8LQCfR2n6kWaRk3eenE866pH+3QOCdWh
A6aYCdMApUm0WBmlbF6dzNTxkhDVTbZrv4cW9IZfmnttnNz6I5YZ9EInBr0aTjhn+E/FpE94jga4
s6+Im0O76/0y0p7mkRn+0ViGKLpJ6P7MgUVbuv2KW9m2Hmen0OU3H3iA85W6Sgu+Zg663eg2tirM
6qWBUMlKcOJy9y+pzuLP2UR96vcXHHoFIvig92OEVNy1Q/qULcm60UkomhwfYSGUaI0VPZGKew3J
kSutixc+SxkLSktS55YmBfrRPUdTNP+MQ37X2dTxrSU33HUG24RLZWi0X8Js7Jx6MyNb0nFbLzKo
GXnvmOmnW9Wmab+ZKA/1wz6vE5QCO1o3MnZifFLrZ6TY9OC8ByVNjjnGV9eZQxQOSmVxoEjQNia7
utkARscgSgh9kxQUtO/NCSJ4bOXTM7xaLFBTaXO5UFMA3TgvHB5DXQzGHITtMDwSaLefKg37Riji
AluuXy0txWd4Ep2dqUUgsc1S0QAf2a28xJWbvHXziM2jlel0C0qMXLRfsaDE4hixFknKmNUShtji
hiJsbu0GlqDncjTjd69XBKuRBqM33UyrryrXh8fJxi+ABG6mcOTxAVImlnTvjqbrl7qx8yw0+gQG
sYJlL7ej7s1vkAgKKn3tFCFXUiTGjsuo/HfbL5MsLEVbnhfWkPTUlGP3QvWQfJs9u/iQ5khQ1mzL
5qMvKnQf+t2qYz2VVbKXYHSvoSbQs4XYraudh5l4CFNgtB+2W9h3QzPnT4amrC8pqR2MNt4MaXjo
m+QBRbV7l5MhnmicHb9yh0rTbaUS3wt5zNECm7qtifNp8JzdOOsYIQA+u58TvdHLZuFlMMc2oxWF
td6OfANzv8RD0yuqz01RAgfFr8j2l7MiDAKbZgDSIMTxd/zSEX2ICwblfc7FgZsCBCB0G/oquPyU
OdN4lTKzQb7NxmsQDeN54Sw63yLgm58qyfqrDjTiQ84nMIYOD1ZM0Zky8wuXTnRdpYtJY7fwWFaU
/gKW28JAUISe10q1WXhK+mtl9PQV/dHNAmrx8IVPkKm/zqmLFa/3JZom3Q3cC9HM+pR4vV1d512E
sq0vY/3RjjbSkmRBw52mnYsvMJUaxFqHY8bOApc8bLCQleAaIAfUayfBGO35r+l6pSAXNG1WVOpK
ZvbgBEXSlekOMnr2yiVTGvsxKk36jaKuwDOd92MWuGZt32OCmpbfxKn/bkP+uaa7/3z5walMld9+
WH+sf+F3zUhHNGKL4ROtI8dKYPtfQ6vp/0Jcl53DrwOrY6/j8e8zq4ZkxBDLHzNH6i6SLX/2+9DK
GCxIjBI8N3UccDr659+ZWj1vzVn9YU5Yj6/E10hp/hpiQxz+8TBL4CCBYl7DCRH6XYfPpPApeaSO
RD8B4QYhlouTdHpUJZa7zfhmefui6gPLnHaqz7aO/TBYD5NFTNfLQmQPn04t3LrwkEcK0D3tvl8e
ak6VelucquLc9NFVpbjanSk2XqwYKM29oX3JIayYfbS1sDeFSg3ac2V8qwcjpPiyMQ+lawV296E1
La0NRXYsWwEQw2ibADG9R5EtuID6reulAbj8EBfG96jlOjbwXOCXpH7DqlJ4ICnWVJ7keEbT3PLZ
eKpjjrPBL+yAKWzy2nt7uU+sRONOw3455hw+jDiptZPwgNazILYxA0O6rrRN0eO6Ufh3dBo0sJ0C
BEqGfdQ2B61X+9YsQrfL97glzg3u2Gh4H9yhpaKjW4CZaCHnmG9V4dEEml5GcSGMgUf+aHEzY/mE
UdXPUTosdepwG2Az3qbSDowyDuUI8yV1A8ndYVxr47s80M0Zm+UnFPDQKz6VtLZiobW+ffL8bxIz
zoJVazMu/v0gjGvW49SG01Ky7ziKp5m6oJM8LZPjHBhQOSroXryjhpWmWXtjc0CzlPwuO4B/BvXF
9sgC102f07HZNfRq0g4FkwZVyphBkmim21z0hL15ksYnrbgyxZdssl8dBwnRN7U3emtolQop6Bv9
6jiMGZaZukdWMcyPSC3lPtcTdWa+664VGQmrtJ+VgWPesWlf50O2W1gvRSBjW39sRlh7cfSMly80
EptMho3RcdlX3XhdKCTCjcDwNNvLrY/7Zp9457LiQaT5xxwWjJ1TdjIJYkPod9bFGsSW0WMnRoFI
OG3RSM+VoShJVd+bKOcbDQJqcsqtXtVHiy8pssOnkeKk9Iq9wM1ETeAOKAzPKEEXoWZzllvtflbk
XZw8pR8CkaOmZjTKOMRkIGk0l3YI4aaBr8fcz4HVz2zfS+/gKn3Lp4yfpN4aNCZM7bSRSgtHLw2J
bSlEzo30MeyDWPe8eY8PHPtechO56dbNhl0xGHckigPdexDJuOF5isO89UOtu0CzOILNCQB/H8y4
aaACn5JBBKkV5lqyKzuIGY+du5X6cyRpWhLTcY7ybSUi/9bwu/KInM0BfyGbrp1rD19TSrRDva8N
IU55p4Csm0wd8KtWdE1NkTGOfKA4h0kf74mW7Y2luhHEMmx48ZZIMKiVKtp4+v1YvUSJdjKoS0lz
mybfAZNy0e306Tol0UFB9gYy5blLp607fmrLS6K/wlHa5NjA78YiC+uKyZe+GU5rqC7H3r7POrr1
MFWpXa/u8PtudJ0cYH+axPiAG/u4dHcVF38ykNt20vIqnYpDIqF9MTcM8TahtViZtC8udNHOdCdh
PpaY8oJooswlqbet5HJPnSMyOY1M2m2VvTnS/IxiWjIFsxOnuih5ZSBkL7CUfKs+SncMXAyD+ODD
tp9IPHz0NJFAdd8WkivNNjzA9BTGmk9sATBkuUGNI3hu0NmW75H2WWbVZshtyn3uB8fc9+ldmlK5
NFwPduKfF8t4RfDgq10GgxF/GDORo7x7qhya1BpX39LqeVXY/WZJT1QOBFMji007y5MnxltctrT7
0LLQU1ShSbzZrkwPgxA0P430s1j6tJMRN8Bl3Wxmm34tpszu+uXF9774VIaOuHt1CG8VASq+d7Sk
EmpqmirihxeGoF4miwK3GD7ddjlR+XO1TA+6PMp+ryvh3QmrfuTwHsqYwZjyXrhOh8ygCKMCynHM
q4Z7fBz7Cw6fVoSmkNetnfTXPcwqLOxJ/tFhSdZMGG6u39y6hf8+cNXSHHmnGwKR1tHfOp41bZlN
7y2+PvhgvnGFj3VLUGZP5A180ur+x1B0U3DWNUHXl7ZNncs4Juc2BTaGifzdTwlUUrULMYyEvBPW
duvs6j4ZrquqHjYGaadTZqpds/T6oRGG2lb0r5Nm7O4bjHwYekl39rqbH5sRiHmQdgOg7FpOLxw9
u33s5y22YAOfOA9ZHRHx+zD65ouhd9mhnZh5BmIegV2Z2Wu72nLpSjlFtj6FMYuiPsoFftMu2ndj
oQCcGTtRDQfReF+L2ojPGsIGgS9cASkRpghVXp3ywVVPke31sFwXavM87kRVYlMn2pNmlYP3IlHe
Ejm6m9hPnpkkAuLo0853xzs797ki5aWZjKdIi7ZQV2J6EGIXu7Dx7M+8d6247xIn3tPdcTss3njM
FzNMdfGChhdhgzCnejf15ziuP4VOZNmt9PLDaGr3FFMKAPXAUQbNJX5KvbbB/84qupo2njSeTDui
vF2dZyEPk7+8MCBQjT19JT7rhfwG0GKTKcBWe8TrejR6Lwk72uk29MeGtBpsWSNmgcXiJ4DQm+xi
SXq4kS96Ob6yD32pzXobZ8wcRC2Osmhu0Xt2WtW9tO64l2t4yjHZpaza2Q7a2KFif4C6TJkdTR+A
mTEG1IQUN47djDIQmnYo6JGVKY0tSaL1ZE1i2n7UuZ8c77Pw/Pac12UXEuYqn+tIw7A9RxPzXWdt
cQN0Klj38TxX+8Tq98Lp+juIbXVYiE7cAEOPFhwRkhIfvY/UYykqucXfHb87AoQXd1kciEEtxVxt
cM2RH+HUUFM+m2/qmZs2+f4xtOvZDRxG9NsyEhyImNkv5Zi5+1bM4g7SL+1q9DWo56h2hDw6vajv
Itsi4oWFkYf/PFjJIesS3JNjuQf5mGGKyWM35xbqScKqJFvQcLWK3mUkN8ZdNfr52lRZnLKG64jk
jeaeuaq7mwygzpuYNbwgXdFf4UqaFLewzn4vSXRATfSYSTHttTun0dRrxZdhO6i+B8+Gy4aQml8z
f7c8X0+0/uVXAocgZ8WsP3JPtNH5MDlkwP7Br5kuT9Fs3hdatpx70p535siDozfm8qJB2t5k4mvr
P2bueLY5XjwrnKfHXoxwBjODKnjpWFfWFI0PWienN8FPf+1IHkgjdCPCkL679brOuauWme1VN1V3
/CjRMUmnezePhpDNE3eptH3OZsM/pj5JBbtQAlOLMS9f1Wgm+9xw2X/SGuPDd7vlYUyXMCM/JaDM
y3LUz1ltadfKqMoPSq7KZ/J41ZU99g6XHmVvirww0FLWAZSx11TDUWqC+V8+4TQYrxIMtr5Rh3Rr
4JvPi13KqmiDZNOQCyxZFtrZU5y3L7OhRXvgfg6XJLuTtN12gCrfaUOrThTBJNu2tOdHbcmqLwX4
pWesTdG2qkBSdjon5dyQHdC9OSK55TlPbunLnTZW5sGH/kDAayQv1GJKOM6eJnd+Ft/5KVmmBa/Q
RbSNOlfWkN6L3PlKQ/GpLfuXEZxm4t0tTfcm0RWqZdzq0ZBdaDk5jmlScYQz3AOFBscojuQN6SK4
h+PwmHgRXmfcYVyjvrwSk3jEjDEGi95ctGhkAIq8ZLVabUoy3t8JjGlBmRDGtOgINJvpoWUFDdXi
17PhAX5ldGSZ1V0lMQf2PPkar/miOnVege4+p4NuBy2rviG1byMxdidnEFdp9pnzWYZzntxHadff
6ilP4ihNyMwlWrZNqUMiRfRSkn7DNhKn5142BMDYbcWDf5+Teuc2eCZGTKuRNd6hrL2UQ39LvLsj
voXnXTY5EgLrRvaqT/Mg3qp1bjEZUmI3Oxlm01ImppEZHLPL4NBNjruZgckX2OslebWK/DpemPyB
mymHYoSkXaWRoSomZZMyNZ/jZIIqnQjz2PfST29dv6tDEN3d99SWTWjJKDpCW3C3I7mBC5SDMtlp
dtUcecgSOWwjf9xx0XeXLFfqOkuSdI93jBh10VQZV0axdmazjYtbV0HVzNf2lyamJBuPD6RLrFBb
xLSFOcorzKt56StAoXrXfhvGif1bXld6WPD9Dse2kh9d3/BuW/JUz1rXXfVDTsS0FGsOcWwPNXlS
2gsz3U7OTofrcDmQlV9o3lnIqWjD3pmN76le7wnxuWEmq36DHemNoThlizV9ISE8BCOdlb8pTf/d
qPxToPP++UYlkF++/dEFsP7Xv5tHrF+w3xImQsX14e6tKLXfPACGBdkQYA3SC/sMff0r/3IA8Cd4
3flrgj+lsuZ/lyn02AgUQ8g62AqgBXnO39ml8Fd/2KW45vpj4crmHwXIvza5/LhLqRZHicZwTkrL
GrxMnhFRoYAT1q+PgDmNwMvMQmP77PVF9mj5lVyRX3wTkVqYF6KGKDXNXf6jb8S2OBDorZ1dUlhz
dl6IdOvnqkybe5P41hg4MTjWXSoa7lM5YSJqT/SsSOpd15Zm+yQN5RMZ1RKOatwz0sQK4zq2uTP1
ZLtXro6ioJ3cxNhRsknuumAGpMklpNmJA2MSo8UFeZOt6TRaeumdqUrKaGo6FWmApPlSIM0kliX3
1CiX9OGxZVCinEMna8CjFNyerieKYfRr2rWNNcRXmvoVymn2ihPVLw4ZcXXnlayV/BL39RJqU4+6
qTeleeuwz98S/ferFvSpveCkiZ4UUyTk8gKZjYw8ApqhvVj8E2HmarN1P6piaa+ZESrttW2dyLHw
ucb3aVF2pET4QWvUJQqTm/xKr1hlyyCKC+sGZqMn73VtVsixaWSU9bcpsdPvDRWHPJe9IRNTiIlQ
xA+x9Jkp0e1ESWVhW827mfNDUFs0cHEGNKwlpIHmQzbu/NlTwgknLFfQALdtnTs3YqZCo4vqVG4c
KyqSXdfZ6uKRuE9vcKnS6at1pnlDQCzSDlQ6ajJM49KYn7xKH7+nppHVd3nkyJb+r36kwNjkxPzY
JD7PQg2rts5D9aDT1HNXLiPEcvx+ZKCoOcU52000p5nSepjHotPpO3JFMe2SxI3Xbi8S9ejUBM0L
/+I30idWB/jFJ1UwlWZHoaTMp6LnaSIJYvAU9kdMm8wqhIEBaMPj3+AeaRl9/KX22RnomtUvPfzg
qOb9jWGjbJQtcnc7icr0zn08SiPE4jXNx5j6l26LP9rRzipxCjJZFArcYgd21IlVeypPTgTwAuN0
r4awo2O03UWeq/KDiwZaHjuQgM/O2ACB4T4cVtXU7YeeRApPkRqqiV479RVcG3mtFewSsDY6kGj8
trhWVszwBL9Hu0QcOlsI3tb8MLcz55rKntsDVtbhLpb1fEPTnB2a2Txp117XqLuxKg03mAAPQJ3B
//tMJKM8mBLP7EZCrpHbbi6g+Q+qFijvbf5gVj7JYckz/Fg3pribTLf+EgNdeIv4ahHZdDUq4Lp8
BFSGNLKAvy5XqjHlEVZ9tEmJZqFH5SXHMssv0bC6LNOuUtTgFwel7HGaG3HtZbzT7WA2ERTe2ZSU
Tjz1ioPQ9E2aUxoRLYt6Id1C2zQ4gSUlz1yXTT985a4gLLWNZghJPoxKi7NlDOwX6AkZvFHP/Jxz
RFtOnrGnf62f2A8ZWPvfTYOEk3kmCK/3D7QUEijrOVKhASOkpuayjaZ2qRCT2Byp6rNuR85wIN+z
iNVCSGMwx099KlPOtmvodGjLben3I/n2KWc2Ls6RpxoCiXRcTZiPRwrfCJSVpCFjBM1R7Gqf4sU8
mFze/A0Dd4aOxxBpXKyxs8fxuYgkWimHtRbQ6cauZa7vEwR4k1VCLeImcAYzsqCtlNi0K7pMKwL7
pjPKL8KPu/LZ71XpvC25qLJHz8xHVt6GqtoLYhMdYk7ULQndmpJQH+cIkvm3rSRhsYFQQ+i8z8Yi
LFuDwTlqbeeLYnG5tog27qHwE7Fn1DARV/XiXfLhYnadIEbw7ocgl+uTNeTaA/LaFJQyh8gA6Cfb
4UmQ4cyOI9uY/EMXXLHtycsc716WDSihgZLENrHafEPiV2l7X+nlwZ3G7s2yWAIWremzcbMWFQ7A
CXaJGnwPPxI60VT4+bMEXHVDdKFkaVjpa8yz00OrjwG5SFccyz7XbpRTjwHAxeyAc9zZz3VMGWY9
0tkNw91+H2YOn/2IYbtQACd0prcDe7Lqyud2riHxLfMjCXVCyH5u91uGHyuMhiJHkjTJA5hl567l
uKa/E6uJgNyH8WRnxf1CHpLFQqFOtdI/HaEZj25tuThpKJLfMN1aR1/W5XM+p05xnnmv95HlfvRG
1rTvMuZOfFKAIZpvUW511YV6Mroys9TlA8c91T1P5iDB01Q8bN8SQiQV8YWyKslf2IWILlObi/gb
kYP0i42TTXt1JpXFVyyTSm8XpakWQXgozdAa+coA3jDJPPpxMnqBQJG7m9y53idrU8oG10h5jYkG
8pQohdFsTM8t591KlmB7RKPMBfJ3V4ZGxr0Ulnm/T81uxvJCiHSKfWaRxi/mW9ZeYtlapdL9kIBE
6h+dBoRMtmXKtHZ0KgBWNFAMFh/UCIgr791Wix42IxGQjc7VeVd0jXsVpZlz37f0Lgdd5sfrTrac
PnLNYi60svoLZ2n6NRUrlR2q9kys254z1B5PdwIVyf7L4Oh89odS8pjZpOyPlq+dpKH1Osri0d3N
+BK8fZQk89nKHfOqqHHnAXRNJBFJTX5CS4/nfbeULRe97JUqbn89OP73CP1Pc5US//wM/ajKpPvR
TPvr3/jtHG0Yv6xlixakb8cyyBLiy/vtHO3+YhNwhFdMk4XucgX9+xxt8Udi9YIbK2NY56D7b1HS
0n+hg0q3kRB9Fqngvv/OOfpH5yLoYgt/t4X66a6+cEoFfjxFpxhpJn3m0WMb3BzzdJSnRSQ+6CM1
PJDAzMO5XaZbl+aws6G13f4P79P/YUn90Um4vryj87tgV1y7ZXR7df/9wbIpCH+wThagVhrHuK7K
RX0QNZoeele2v0nm/59MSF5KgM13OD+AMvFpXfzJ/VpA4Ju6kW2pVab540TsP6goowwbI/f/4rf6
jzeVjCG/FS5lIsCevhrq//hbWTy+23Zi3abbXGpY0tA4M3/AFiAXkLILL/noDB7lQyD9/e+seee/
zNGuUvL/Ss3rr+v4PLfxY68GZsf+6dftEgXbatVql2hIq8Pok2cJ7DJXdsg6T/hYr9ixtnO9nDp3
zt/smIluQ51B/WzlWCd2OC+Wb5z3OnMLQgw6yf/7k//Pn48UAhxyV/g2ZVY/M6CT2aPGxWGTWbpL
d1mRe0iYTfEXQF/zP75geNR5Ici0Ot5q8g0/fhRAOWq/MWSGyM5KdON402xvrGEByGK3pv7mwmC9
Kdj5YicpsUru9aGGUDi6hfg2FlHL1EjG6o6U/gAsohkqbQvUh3CjKlL9Ie0qVCbFP00cqcrd3YL2
cF34UEE27thr7Z6gIJzAWXIYQ2KqxW/hhD/9Uv+UqGAEx/tGYRbVO9xexM/kf9oei5mLDLuLyjiy
gAXcNVxum3Euxm3Xy/G3W/yfvt7PEY71BX0yYSwEeEG81qvD4Q8XLA9FNVLwzNgp9b3ALLWhAykc
IgXiM3v3ovaBBpl92qBAV+Jt1J2T7kVh6fX70ikv8fom4gD6bXfzpz8VN8Mfvuu//lC0UxEX547p
/eoh/sMP5QK6sLUBvrFEpnqouZOxV5y/L13moTrjjMgbVvB/7/u7hottTES8Bdy+STv8+EYs9L5P
scB5Qd97dZQcEXdl3g1/YWn/+SpZX8XF98h3l42KsH56FUVtTZeajIkNgkVgjb2F56Jz/uL9+79e
haeA4IOlTxPh6MffZZ6EEw3l+irkGY+G3Tt077j53yqfJKXE4W41cgtw+Sb4qJ++Oo1f4mNrKy7F
pPmC13l8N5pWfPuLj8Vc35I/3vhINzm8jIGPk3s9euOPv8yEV7EyBpBg4EhKRNLRzg5ICX793TFQ
c4daj19I7rEiiIWAXZpjsra3sUF3EUe2Oh+vFeFD89pOEgRrpcMkvbYQcrsDDmRc7hPrzwZNAgRa
kE4txT3m1CUeg6Kb23fFQMvN2XRyLKsxlt/qWqhmrk8ysoHeQlExlmAgTKsO6DgMtSxFerYEshRQ
l+hPYg6taZcCh5oeUMR8f498xg6IPY7bQIi2qX1q4xQt2zayFGGbtCmWPoA0XFj1GN/UQ2wdprmd
8hdYpohM/cp0vMploZZ7RR5Rf4oqGZv7QbX9sh19o/3KNKTFu7YtFi/QeyctDm6SW1mY4U0dQpou
R7FpXLPAMlGZtRa2A1P3bm3divczCd0XvdaGIlR6FPe7AhrIDT33GbYEAuvqFC31wL6mhHeD57SL
5gth7UaGozlVc2jjhe5CQcnyo+csSgcrJZFSwXY63sYQM4o2zDQPwAfzoRtGVQt9Rrcajcc3BEeD
nXeusJcOBm3TRqe3O3LwlXXEDM/7k3U2jFrWVvydLtZJJRdVtq0TgRGiBmIPkhdyacG+bn0H7Ryg
7HZ27PiunyYeeQnP7OsZgBh7Pd7SeJPWvYcsXM0oKAuo5LcJJ873ddbu4Omlmb+t+Omf2qHlS5AL
cW9QbqXd8I+BkckiwwFXmA3FtDfpf5u3SRYtLxkeLv0yVanst2CvdH/nz1O5m0VRRkcTHV0/ERTv
cVe1VpbfakPXtDsjM+lsslMJCqhHs3w1mPnmrVY3DO913hZvnjUUH1Eih5xBg5jrZW7ID2/clHaM
a6Namjd9GnIvJCjRJQesmKkJnKRovpF9UFhtzGQ4YGTP5zBunKUKxi7vjtUiy5Q33mZW5rsE/ili
PKQGyXPpmhoYixrOEAUmD3C4Kw03mawPu6o8bSt7lkWbqdAkjSruZOTn2sgAQropKv6oqeyjmXlq
BdUSs4ZA9ezYGbkNoLi40irue2XHQzqBivlldsGeHRjCoEIVs2Z+eFMGIqzTWUohbE2aCIlE99cF
/GjUPBzz7SmNmnm4RYWyuVKw5ZgBRMAIs05D9VdAJMIAEz34Lv1yAIyTbQxReAxsaGRsXBfAhNfE
jsS0L2e1uLdq6Mw3R2vq+jbq5jh6MvrOTk4UnEXHuGCDGKh6SJqgANcIpT6bTCdIRoktOwYB/ZaO
ndYF2QBXL6RNzBh2HWub99lPxjtL5pLgLSBor9+Sb8NC0mVQCHai6x1nWw/IIUFTzdmyl7C6WLhm
S5/vTUypVZjEBoDDVh9c6+BBRwX2hl/sSKgjK68We03KOdwzyV57bJIYkNdd8rT4rmK+bb1zU3cD
0hWKEHkYNZR4Z3OJfwaJmz3HCDTp1vSUh3PBbMQ3PaUcfS+o0JI7Cjvki5GzYwnqKKu/oZy7F7PC
WoHpTOc5rCY/3RqlD3O+TL367BiN88iPFF1Q5bwK4nBpkvrE2myFcCibQ5K3WBf1tF0ZYXbpPLBs
EUcNujLWYT0Xl6x22Z40kVvAgoY2FIdJTgYn0JPaP5kyZ3lE6nWdgUFkWEdTr6MH4S78xkNhxd/g
LxrXmljc5lh4FSs64LrsYEzhq2Wf5axYQ9gzY3M7RP3iHG2HLVYAV8+nF8iZCaIWTtd8aW1vPuuF
USSEVzMirMMg82eDHU+1rblb7ZekNMQmL6XV7HBoYy6w06IIYityNr27GDcLLuZ4W2t2N0I55Lm2
iU27CKUSxolrs7CugEhr57IZTSJJts9yumjMbEe822no4xxHYtfUsbHWofwjCVMvhZoIqFv75Fro
XuGcOV+qGpArtsSGRIhbSEI35El6nWNcjRnH9aKGWMUUz6gimcY4iCWTAjrdL8jHTAgD7z4VvWYg
8ah0dGLQSraxO9mXARwv7XYetCpb8SIasSFe86vACB/tGlElxuo998CFJEWrb4Gdj+a2t6z4NeXh
VJ5EzNYpsLWqwTNdOdpNHBW+z0Jrrh4iCglRCgwojnjzVPKYAdd78sEofRbKB4mxYqH1K6YpvCwW
DRflfpHQgDpvkOII8Lx4BsTCqGPGCAChnEpiSk7CrmrTaLFHRAlW1EWpqLvSuKipccvc+tapHdZ3
uAXMp5ytCwwPGNxvS9/Ud7aWl09V1gkjyExJWTJh6xqKQlUCmbIjZ5632Igt786t03w6GGoS2X4e
ZwyI6xtC55JbjSfZoagipbYq4/7SjF8L6EZ8Eo7eZDw9NUxq3NWxutepTXwNGgmWzN4pN8VQDB6v
6XMbMQ2s/wdCShmPKcXX18Ls4YJlQSbgsvKT9VMdyqa4Jk9TJiEJMSSGDTVPYtrkLYDC3VTrbnxr
xWyhHjQSTnlLEMvt3VPF/8cOfTbgT+Dth7XIVyt34hmkC2RxCPtdZbMZoKU84i47dxY2WFpGwqmJ
vbLYdlniOEX468Huv8ulfwoOwn++W7r/XqsPnAz/qD7/ARXyH3R4xtUPgi1//fdFk/eLQxOrwTaH
zpdfN0P/EmyNX9gD0IjB8d6kjWBNbP6u2Fq/MF+whAFSysLJZF/w702TZv+yjs1sqNYAJj4S/+9s
moAd/nAyZ0paffYItyb/JLwB66e1iKkxwgG433H3nEIrrub44puzZV2xqW7Kq6HVdB4sTG05x9JF
TqcJ09er5LvYBUSnqwZAi0YPwsIllYZjpFRKQsPOYXINlVP9D3tnshw3kmbrd7l7lGEeFncTiIkU
SXEUhw1MJEXAMTock8Of/n5gZtmtLrPutt53LrRQppKhCIT7P5zzHfCs65qkVdI1DxTKAeuVtey7
QzWsAmQF+qeUaE69Hjp3oeTzqiL7wnNFxYifyX8EbUTWAeic6Zr6H76tAUvgnaeYfvgU+d06H3w9
RuB1IpMjFE5y/YsEpKS5oBhw1mc4jv166ax0/XuOwzzc98Lxz67TIS7HLhmKVJa4AakmVPbmo6eQ
e7K1kK6VEqrkzhjVMTHiizvvdNCgUSnaQFwn1orMMnQnhK9gyo21m9l4vzeRG73ZrFTwWnkBWrVS
xckvI0rx0mOhWI+5TshGiGHdktRXO18dCkPUrZHqFvj4XXix6GVEUSW6+rbonHi7pt0uxvKVoy8y
vkU1mS8OV4ToRKaRosbyESGVUvyVBEafkBo83vljZR4WIdhDteQtHA1Yy+6wKP4ye8eprfDgaTHF
J1tOinWQN76BBMY4lIQtrN4sVDftFLpi3w/GakD2q0Siol04yHxb+tDz0HP/VolS911IWg4W/DGE
QVkTHgGaMvKuoNaY6WQbwEtg7gV7AYfrhuq0TRSMdjvqmxNHIsP/Pg7L8l6rGa2WacBNnsVsz8PF
OlloFoep7AUacbcqDnniTGTNtzXq2iYhnBN2+YxOdJBDpdjHWoHimkdNeUKk5q+HIB8NGvMAGM0V
hcM0XomwJMW1CEOp906Is3GPYbuFA1Sxz+jryCrf45Vlw6HgdfT7yUpIN2ZGSjp9T1VcnHNsVCVB
Gz5dJv5h0x3qkfVc2jDZnK7WskhcrlSvT3a9rtkVMMzT6mw1C7vyaC7xRM8UoE7Mpq7PrceOvW9w
zB1Z4aFGllMSbLRYz6Jhw3gsRBRgqghZFaBQ85zoXkz9MD0FtVuCrZdYvF4bUUJzL4gjFY+1VSzl
ddVmw6Veorn5IcTozjf01MnyU41sFdHb4mc5StNOBc9r5WUvo5tU/hev2+pOySpiZz/wAAXHAYas
2Eed23G/LjMRi7lNx3UsWHGJg14Xbm5Z5KO4cKgakVB35NHtm3Dt65tANVH8s26VMXxZtOVdeibv
EN8j0nVOyPaDryhoybHwK3TBBxt/LP6NqkTmqURTd8d+Jv33UOGdRdbqjXaJNpl6N40pYtR1nqFG
oBKYZHPjahJaj0B6RvezK+GX7Bo7m8bbBDMESxut2+IY4MPbyNoryKDerrsWY2Ftjxcd8QckrbTb
v3W9rhJnRnl9c03JNpRnprRDd8N9XkTbIrwuiC7Btnmux1ZQYfAcITtAhxWfWiMxK5ZD0PtpNDmk
4VbCaXBXeAVr/m7wwUkTdSj8B599NTWc8HWwH/Qa//KTipfDp88faqMhvsRIDX8IpUn5CtZMfRHo
HHytFeA24iDW7pkOiZ/eDB6/YRUz2bfazuBBT4gXCPTwM+wVvbD5t2jjOW4K1lZ8En5PEkcWk31L
Kt340wUN+y1WiG6K2dif0keVdm7WSirO77IAuL9E4g8SuYiQCd5XuF8Tvl8iwL9GGzv1efB99YUc
IPhCl9HifQf1RWgOIRZ8WSnxn2Ow/y4l2NB9Zp3L41MHki8pMSzoPKaMvh5uayBYepuV7Gibaqro
QntN+f5qf1dqGNt7TI5wsWxviuMLd9rGHbUIlLhgfgH9zbSZ/rXYftFfUeZXjxLZenVaAihWhNsI
3aVcGBbdQuZ7Lyw5Ks865y7pvUTnCID7acNG/gpcN1ajkYRuwNglD1ta2M0M8in2/ojFr7C6J9N6
P0e090Dz7HxJ82yyH4siCC7CzA36I41wlpx9Z8iuZ4aFn2qql5o6bbPfKzrQdjdmpV73mU/yw67z
6vHKxY/QpoRXNORg0WbdTAscjl0QrN4jS3glSDB2QZu0LtPlbQSu2BtmQDMAuK93Cq4By3ORUI1G
fVZxFq24m/eO9rz2R58lDNZBS7uPPT8eFnLTBsXRTKv7I8s1vX0Lc5lg67xCAmhbjXmUjhju4lqH
z6W1FfceLPLLPBPNuMu8uXipWsfjMGPU8kbKh8vnzTYYKP/Sk0qB14DBc+iN9aNhtXFFwRyzp1Cl
eh29OMfltABf9OqsuunXvn2WY7M8t7XlIi7UAGWRWTW3U9gPeRp2icN1009ZBJUxn/sDQ56GLr4v
vR3sBo87Jm4YTFWZVVxgmgbCfEIibVt+6s8lkRBu1MNYnDec+EGaJnD2VVjS5fesPD7drO3so8bA
cjfjJn2kkm+p2a0QW3FYyLJhlb7EPykCRnW2iV9hDtH2XG8yNhWsOduBRue4U3Qz6Y6dewP6+H50
s+69guoHLg0VKRez56FiY+mMNJI8Ggh9fhlhhYJP5zz7S6s+6nb7KH3li1tIHlZ1ysdugOgI7vE+
8nz73c1X8VSLRLCCj3G0p1ILOR9imKfeiVzG7gZ4Ae8s87phL92qwS+DevwtFnbybqagfnTzLvjh
FBoAeVJP1d7XdfcZMCy0d00tcKbLTnts3vkf98cwqREm1Crwn3vO4Z4slnz7kEPHOXfKVlY6xe4A
Nm67ONLSIelIoBjAVKu7RKR2KxO6lxIs/BlkKNjxMfRrZlr2SAsDbc9NQZyXM8DFcr7tXQw1pAbJ
/E8QkAx2Wa9z8drmyNdAddsuyS5UUhSC64pdgaE3u7rJjgkynhusZeCH/Vuy5AFkEJxDC5RgqqmO
xtMxIIrZL7GM5OCdD6gIcc8ZLqPLTiJPYk4iTbx3bCaNLNky/5zViHY7SRb9se75yqb2dp3uwGRI
TeY8EUIiAC4yla6HeG+LQ4H3vZbxSS09KeZW1JX6SNgH0xsvy/voGCj4iNt0or62ckBBR4ck33s/
aaP6sFZVdtsgDULX15rch5PCnIIqZBtnc9fmLwx7vS9lF7rZ2zZGLB7Mkpejc6t5ovBbfpJTNYIC
r8b1OgGD5e/G1cOPgHwHEdta9B5ZaLOBFT9smTQkAK05Jk61tL9FPfXNhT95S7+f6yFmPIO54E0C
Af1VdiXGOpvIgRpVQtdOwBg8clGLtqs3cVe1pMM4IJJRjl7/lOipbhpMM4BQQ7He03EOHx5O9XG3
dnp+iTowFztgVHirmJtBYqdopk4ll0v3jCymsttHQ9jcqsESH7HfBK9OXJIaRmRbTLgMByx1dm6X
8kBeUTHsePx990dHrXmXN01F0FPTsxKZWP/4QFj68C4fiugVyAwIlt4Oi88NNpbse0ZOTw5GiScz
5Bga0R8hPLSLgTxZO1MSJQsiugNFFJdQQiAyg7Q6j1HTrBPZAwI7xFvZRDXA6xgrCXcbZrhDELTN
PQE+WPRy254JvoO1ckOwKxSU3i56nKthQQxUzEB7QV+Z+x9SBx06+aCbX8YeHuJuLR35sYzk9+yW
vsKiqUa3MwfFBefAtp9wvQ09g8B0ZdYNbUGtnGhxYFvPnT9mGBqY8LyrpJnfVrPkt2SiVuYuCIdm
3iF8hIJVZB2fKLKYiXI9GNu7NRmzbl+LFtdhYSsmSGzjsysFvsxjRRnalwP4lOqUsSAHJI0Idtqz
/MrvkAkEhKkg7iagalnKDyG1/adw15pFYqJDSPEm11ejNXGuDNWicQ6u3nI9xqFbH6E/Dw8l/KMP
Zm00Jdgol19QbaZn7ZT9uzuz30Bx6nNGTQokiY2Z+mHoajADCfTOfuf1c/VcmpaGyCp5dNKJQvXO
bxP3ZmVl9tpUIfNlD0lGwB4inl8jdMLErXd9ne+NlQum3j2FSw/uEde/9Ir3hE0JyRJiAlaRr5vF
dwag/bsZhHi3Cq98H4ZkfGHFgya5tpyYiXEUlFeO2iin/HZ738SVfKO9Qe/exsv0M1D+8JKUJcEl
OAj4arxMs8hHrgHat10WNAq9md9UT5VOwie77ax3O5k9CWdTBC/GjXOLBtjlsV/hQJTkMRTTPfs4
FMct5c41itXmyyxaP+s5N++RHmpcZpFNLl3BmOrIg9VcRm2rMUvWMxgRqF6qYKC9+WqXwZ5faviX
bzYAwCiNqPywezrFFB9jh/gH8L2knXOTcd0eSCkKn8D8qOUmKSNQpaWsk/hywmUw7FeYu1+LpYv8
YAvL+RS4nZlwMpQqyVMSVpS63RxsB1gzHwtEvQFYm5DfaEkopPV0a+dGF+DFKBjG7tkPJqp16WQJ
MTW2l38M1eyokz8U1U+KYtdl35fxHuMptr1DVo2defAXuqldko99zekzKp4Qdx3cPdAdvihKGL64
DPOzgdstcvDLDE14yDbn1Y5lHVkMcU+heGhc02XXGEcwriPv9uN7dOzD9h/pwn7VAHappbCbkRaS
5mNNsOGyZTMcPGQE7rOAK32bb5ECjEYD1OFX/ztRG9eLz//7fzZY+H8+Udv/aboP9XtkpvbfD9f4
P/01XPMcOBFBSFAESlv2/RtC4m83hPsPombRTlHQhxvYko3038O14B8MzpiboW2K4Jg5MfKTf7Il
NhMFMgp45XHs/DWt+ycQ8m/hFCzJ/1QC4ZCN/R/Ha46LFATRj7P949Lg8tL/VZoxxy2RIBrigiDc
DY0kw/xmN0xild0Xbh068YEvUktfQL4cKW6Lk+1t5bqvEucriHJSPnNqtoRvdmB7VcZNFhYXSLxb
4D9JU+P4bIwRJxwe0a3Pmfc7nCbADRVT/4NX8cU8LBndDaOouthcR9hHWAZK+4ItGu5qgbQY3aJD
+4XBH6b6Pg8XcUX0/MjxmUwsv6dVu89E6Cqixbq6fhqovIi79RgFpWGWs+zyZm0s8nWMKi6mZR5H
JnZ8zdI8NOFHUWSYAoNkjH90VVghgaW0+MyIxcAT1pFLNtnYNBELh3CRE0OMAYGIBpIbnLiagp/h
yaFdOcmw0vbZE2yK9gMCvZnOcxALqidB28AimQYENXxmcdwy2+Lss9q3yTdriDzUcU/26CKgZTPc
HnGjobFNghHHYsXGdzeO2x4fb3r/3NP8yANIChARLK4DfoUTuA0QnGVNkz5Y11PXGEYW7kg9Aw8k
WV5YXFLqsNrWWyI6sSmx3xGXOgO0VoCLZ/+LACbzs4FPzwCg8vN7AhyNf6aHk1+E61iU5YDa9EUv
DUp6K7OFYd/c5+z7bII3dz7sYL0DAxC4RzFYNe+IW04PSMdxM+CRtmlmquBNREBYd3g841/BXAwz
oZYl12s2kE1KbBN0gAgPjaF5++OpfP4140FgmaAyQ6UFifSu6Hz/M5pmYEGsvzD46QSbJAfd7AAl
kd5aHjCv0L270xSHFNyOE94VY9YPVH2tb2UXzRLT6qeVWMR4XTFpcTBo51RkTdfbG2w/to8Au6R3
YotvvTHpWm/gYkcGoo8k+O8cKpmvuxpC16Xy8oQYoNle7fGai5IQ3WEyOZZvJIIsELk11Y5gZJRf
O4qXIb4jEbTXsKUrJPJXfaNH4Ey6b4LshiqrxyBr+/waJz3D55ai0jvWc1AtFww7K9/eEQWyBm+r
S3LuIcHyJwh15mH8YXAazVdk62bmImOlT+qOi+mWV8xS/pDUbRchQyOH51LG1jyk5Qy3Nx0ri16V
+LAKRHm7Bu4LwEl8NOQIMsUhiw6L8aCAroNlQZf/NCNfRocCrih7q13YD7/QX8Kjsknjkz+myiqD
FyBVSf2jJWTGuDs59ZKGLy9leV9vCv6jRhLl39sN1XZaLIAhThDVluVGyimaf8gK9/eeHPEIFWTG
+pKTYIoX74DUcYHt11PWMNsibXrXUkX8LPkQ+TFONJVg2UcveK2txeSHqemdgYmUCN8b3PfFnpk8
LoGczpJBPFGGv7BEhQucEaXxa26DWaOaNb5aw2FhUj8ynGuWGii5Q1jpH58Y5/ia6CL8KFiSfB84
SKetn4mFqWiXccyMRPcV3vR7hQz2gEk0GlPO3VKwkk6kuHZ6FOqHcO6hB9ot+LW0JtnwLlq6uCJn
PJvvQu2S8IfJjEMJVieRxQD3UXgT2LN85a4ZQbfPfJtZVdNTCo+PdMfElMo9w4X6wPKnbB4CIhLu
YRu6Oq3o4bAYEfGoUhh8Mwk86NGzI3ub4I7VxvBhiB568XHi0iuXgMSg4y3vVU5sRbkbF0Uu4lgK
3NJMJoaRFKWhKc/EpbjDHtGyWnZTKHgl1B+RdQDWUA93YM1YSOCCq/DPTe2YpeMqeLMsOgemUJmD
U41AlvUnz8Dgn8TkbwGkvd9cFy6z3b0VFiZKae2jdp/AO4cKGCRV5e1kn6xfrsSxfSqZtdGt5ZmO
UY8gvDkOnYjlaZ7t+rKSJbFIvJ9+dlO1Y/VEld+qgw5dDt0ks8PbugojeqVab7lOieXZaV4IQeMz
e691tBLY1YaOfPXDMgwOy9pCW+zCeujvaZ7kVWDAEKSO04SaD9Btt50S7M498VTtL6dnDndwZgYA
u8kVCyODMnpghquGPYW7s147Mq9uhGyyr47SGqpdnBumaeOwnHrkZ8s5RHuzpRcU+QbAnJoNeUe/
KxBBKMDWpUnYxDg6Sn1nI5FR5HcnVDcJgVzl9lIRQUC9hl8g1qMf5BEPR5vwKAWBS0Jdkcl6JhKY
kMPD3MRElTb1+toDXCgPBSGjeNfHjkmC8IGWXsZgjpADNAObahCIwcASf4qetFdMMnXXaAY6hI2s
SHlyvXNnDegbjOY8YyI3Lc2hINaOX63OZjJojxEQ0qQFROOKIWTbbFR4ph+T/V5Ie273jVksON7z
EEpgOnV00oFNpNtYyvjR7Rin7aZlxVaNjQkzZSnKdzQjRZsupuQ4azLT3Q6uk2Up3av3NEvjxYSl
1FAKZGkTkBEMwz6WYjW7gXfjnYomgM0Ujfq1xkr3jjo0KriR3YW3mPXI9hh71iNil+IFDnDyyeBk
YU5KeQDBzct5EUG/gv9gkWdzbRbxBcEBvJ6qxu55ZStCuncYkSoiLoDKUjbEi+G51w1uPzeBlt8w
4g0eYr4zy95unYJoZtRkBXP3fmiu6OvzJlWNY/2p8iHsjnJcSv+Yj5a8IL5qwZXkO3mYxouTvJCJ
2/2E9wJ0KYbtwOmOLROuZs3gteS6FgfMZdMt/Np+PGnANiLVJBISJ5vlLRYiUTcgQXPOJjV2WX/w
im7yUD47KPcQ89hwOKTHf54JE9NUdhNIJYGGqT1WWhfZMSch4GrBESzPwzZo3C9MXszJ5CZrb+i8
1tdZec18CubZfHkKtefOR/qoD7SHWXM1ANfU27NnrkLlyU/6F+u5IkXgMV9zILLxuCTvknGVjwGp
Xv80RIxOe8OD+ZppK2mOi7G8K+zh5ImMK1PLHb8pzrMezG9PTXGACsEinU5lHuo/E9vsC4bVlr8m
BxTTbnWJs61xAkI01Bwm6VKzPGKOp8ofnoYqe+hFn13aUMU8RszziH3TiM8lB9eyMwhtHgZV92/J
rMvPfNRkGCKjYtahQW289UvOqL0hJeNporf8Ax5e3pJHCNUrNnbySOJ2ddkvC+l+fpvx+TmL+uBW
VnedDDXrws6JZuofWf4SG2vTVat5SMiwPS8YiHjFBKO+zczI7+kGyW1gEQQNh7Bd8YHuCxO8P+TJ
O313/ryiM/0dTQBiUj0N7bs0CjzhVK3J1eiF1FdZkRXQVhLF4IIn5VqzLPJTsruYpJdoiIEgjTW5
Kgzu62mzksZXS7Q2ZrciLO2hcVpLw4gyku8hrAiVsq7B/DWqST7mll7OTaFhErXQJG8VWwNoRC5m
fZz8JnlgaRqQAjyY9cLhyGe5HVcM4WVuW1w9CE84l4kHhJXrQXDU3jB3h9KvA3VgQGw9u9VMe9yH
oq4OUaNCGM6xCpbNpzD+ke6g3nyrJMo5XBh3H5aCbdDOd0frOdPN8hGy2Hkki5igItSGFnBSivyn
ldgOJl2mnLpjMobmbEzmUSzUW9SGl5MblGaAYVjjBoSt7CqJ9RppkK26s8T5hXxoWcFNCFDAeCat
akzOY6k8CmaWBcXORNTTKcyikLO+8yVUvNWPycaupfWYgX3D+2n58pI/kiEYKEEtu9RZFrPvFkKM
U8VEGTJpWP1rXZPqeVaJgRrTW/VCeRkSUx06/uBACZkBf8Xk1LCzGRtJ/DNiG4mWjcR4recwOWQL
9e6eiFyfknVNuFmATpe/R54SrOUetGUinWb7DWjDptMs5BByOjR4vOMsQukkbX7oQSzae+FzlrdO
JYJXFVtenk4TsxqYfPVLNrqTu4tMMsYHRhrFr6LJ+/hITmRhsCzjhtvTgfkQPInB/mNs5m68JMcu
U1S/Y37k6zKdCR6FDJOxAcV5yxicZM3cdgfuRlt2+1j7NJA4VQngbmoAwuAo6rA4+igQV8wGPY3l
4DbscayxduU5BpZcpF0w2uMurMgQJciJs+Y4BHXJ6kHkmo8GxlWxrwOnkadh1YpEd2eMj2Xp49sO
wlHTdTCnQ4DiW9A7atdM6oZU4QFLXzI015EuZ/dY5rHTpb22MuAZwYboH6eVVKh6hm13nFrgCGk0
O/VwqMIM9zB2dBE+1B5Duz3QaFrSaDF4+Dqv45rCgY34e+nCuTw1piKRSHfdtlL1mrC9AKUcsw2H
gFOCFmfaCcKUlTyLzCyBp8LNQmqLp9v2RDEzPLJc6qrLLLRjBL+1rDgyKkeG+1pKTtk5D4KbxDQe
9JF8se51Q2l7GhRj8t0aTlVyjeJu1amTx/zVqiVJPktFlFfaR1s/7CB0y44EuIeAUBkBr5eImXtx
xik0P/V1hf9VhjIBIJYMrov40k7yJzvpRxuxdbX0OwST6MtUAQVht9ZsAVmXbdxiM6xxv4+0Iqk7
ybmGGEmLpDuh7Y2LowpnrFP1HJeUndCFaf2+d91DjbRkT0vYZ/s5yJgOqGnGEY30Eq1J4zC5vMRY
jSdzaIhUONd9VBYXLqm30TnnYu5usqVW5ZmAbskevsE0eeb+R4bZfu/qE3RJ44X83uEjWGefP/bb
v0UVzp4//t75uwERlLeU2XD8sW/07ifCQimPMrTb5oaBvGlTUojrnmEkrP4duFxTnspvrYH81h3w
AqvuWKmcoDLzrU0Yp2BUCJaAF+zzTb5Q2otxTtF2vaO9txLvEuEHtc9ouiD+OdGr1zdWJEbA1qZH
HQGFgLV1Eqz+hGx7U1BYZlNTwOJhNT67PP13A6Ihsa9qRMVHGZeRs7cSO+tOvp1l0bRPEOkwQ4Ja
Ex9nbxqWC1Dc0fJzlas932DbnpofDmdEfUfCkBKPWYQ3JR1FNi+vc5DzPDL2NSa6R5eTFVcIKhCX
rEs1aJTVHPGrnNU3opEAtQU+bnD0wKNlj5tgmjk2gWUl1/HUIyroaXEVbTqTkwMPFGIX0uEQvjRr
AUC/Gr8FMX+JY76FMvTw5JL2TTgWAPN96ZCHNCKsSYCU9yANhDMcwrBNyndCq60XNOtNfym7YdvW
uUSH7lfe4uYYi3Ycr5Q3rCM3Kuie07jm3nowpLMR7IQZBIyAb0qmUd+yINchdIBqW9gIXBeIDOwv
Uc7gv2I/loa9DlFgVyhpL7jgJ560QKnwvvf8orzHo4I0yUN/0JyiCnTykVA25EvzX1Kmb1kTNCYk
Tl6ivStigcmVZ22MCAqJLhvjmSn6fbmppJY2D1jDDRKo+PotpFLfoipc0AisQlkPN/GmuiLTpGkA
iNUTeGwm4UYPiEvcb7EWDAGEWy2vuDsAJKckxO1vp0vrrw/CsWGXZwbPKL74uueT2TRhod0lmhGA
g1SM8WO7HkoGgiCqqqiN0etv0jJfmPqW8QD7lYDl/wWjN7ZWCD7CPF1JyH2NtSbLx8LRfSOgGKxH
i0b3RSg0bYQIr6jjvqVuGcP1N0f41fv6LYUjPR7zf/YtkatnMV86vgPnEhr8Zvj4FtShj6WXhaTG
WsVXSKX2LgLjt9rCro6gLqRacb4lelbJmnSn2Ct+8uVHxJdEm6Bv/hb3qW+h37pp/vBNz0j5QoUO
hgpeU4piY5gwt5d5NZXXfJk2utOKvnq5qeUkpvokOjVQSHU2nTMamrZAHRhaMOoIbJMhfdspmxz0
WyNPCVRwapz8kWUmpcWtcsLOuxksJ5mtHNehX8ljlTRyPNrhFDCrtYJ8kA+AIwxJzAyUwkOA03z5
mGLjbjwHJDe5ImDNhq0UZALE1q6dtN0+Ol1Dckfs6RDaW1j5Ys9WsoVq063KJrd92JxLJLoVrvSt
IxYxRp3FXEACQ/RiTdwASR2ea/L46v3cd6G8pBeczcGvaOCQdkxMxdE9O0GsTuWmdP8NJJJom3oT
VJ99HFE+H3aYR/dtZa/6D8T5jApV1RNd5Y8FUVp3YjBg08I0fR5w89AgFxwXlVzi6aNICKC7tqWi
s1NeZM8OPEN8oIgyoiZ3vd2yuG7FAhdjf/+elWrN3kY3rKbHCtUyw0thZ3QJu6kLtzTCthvGct3B
Sgt8qDZ1MTwGuYFxbIjvKj5dQWo3G0pq3/AhkgnFd4JKQJI8OSbCZYaJLORnzqPR3XMhZfBJMGVJ
ueeaHA++qfvLEgzKkypIuDzNIJJR0McIPGxIBUzCMPSSUwcMi9a/RzrqWqRh8sE1Fxmko/5ysoAI
78dCA+5ZdFH/sdes/0OmhfOLRRuTHrH0dnvwekKkaSYQmXC4anL+8rFCxJc4rbEuNhkc1DNrjK4i
OSrnEiCNJrdTxtmQLo7Pglp7baxPsYd0FQKopE526MM5xSy5PgxWjAwAMcgyorSbIAmzGy+oYXs8
kIwlWzTgxEZVLm2ZM7ipTJgmMR6y+xeod8WnBW02YZZUWQ+yIG2DZYBs3MPKhIlNbMUX+6LVXXE7
u/yfyEy2xmvGRPnC+nqBk710ozgw0NTBbeuSQbFj/B+z1cZKoXdVsdSfXdySQGCSxcIKEoMwmi0g
IZwrgzR8tTPx5TAF5a8QFRi4GhJFGQJg33P3bC9yMICAUT56j0B5YJke5uQ4Gx2H5L5FvbDCRoIb
17N7Xy6jnkkJWJ0P2rT8KKK6uq9aXUDriAsLzWXYAxNCVJFOOFwIoCbJkN7B3XYrzryU8d6WgJ+X
YQRBzdNMN649p0cMIk301uklwBOYu+rPHE0b/tieq7sVlUt+iE3EYzbbhgQlnv/7rI0I1l4Zsd+D
Qq66PU1e8WekRLxnHMK7M49qeRiTdWIYCHqt4i0ZgluLHJCWF6cJWrNKvskp1UMpjlLF04qZRmzC
LqtbnpvADukxpG+uk0iAm1LaUGBaMqMSNXNJ17jgVvBhYwq7wtCGxDqtECP/tkSyaI482XxttJc/
BJeIfcaQaL/2HBRXiDTRs6K6yujRGURzlYmVHIKGvfcr4ezZuicehWn/Yq3LIzqmpLhIagvpNUgn
IHqu05d4dqxoudYJUTVMOf3yD32UCHh3u/iqqcrFOhCMGuzLGZ1Aqlpp6QtX+HGfgvwWX0FL3mMK
JZR1TSCDjVPqldTJ5QL9dF/ij+BMqSu/JDs27P2DxZTEOZCNYBWXaso7SuSN29oB7aHBtPGE4KBV
wt6ZHmZKntezTV4BquAjAMIhY6Hsev6OUCYqfXZhSFKZ0LAOCmNFyymVxeCDpjd8yBbP/hVDUTTH
xnjFnafsnqeoNCi9kMCIz4rDnXHIEo+SOc5MO84Yw7cvlZT9R6J7/eTwTfJ3c+YMN3JqED1EYWfd
oaIgMgEUy4pSZBjZek21mz0q3yGNp809Z009ZdHM9wlLkBtKwvhO6m6C042wdBvND8QQYQ1yorMJ
m9DeT3VfvCRYC620mb3wbAAvymMcMxkGlY5jfjeGa1Ol41xOzQW9n/tA5xZdIlkhKnfwy0Dv7UyC
HFSavdzOJfzSpGXYmjD1erg0r4Ppxq+yn5tqZzf1/Bn5UOnvw3EYk71rbwNgxjAsguK4m+7BmyXW
jzBqvZsxIaV218MyeAF3Zd8BDSS3wscyJ64GXt8V6sEEq/yUmV8+ayfSjQvXw6I4t/BxZUcQi43l
ytoNlo0B1Iuc4n5uhu43zgZiSVe7H34heMjBcMm6+/jf5fxfy3lU7P/Vdv6ha37X/8ZS2f7EX1v4
wPmH73hgHFiqs2fGz/LPLbxv/4N0QYf0NQz5QeS77Of/3sIDYGFmCd3E88m9Azny/2EqlvMPEEI2
7nqsTS5hxPH/KOFhW7H/i/fcQxvv+HhvUEbGcexvGoF/XcGjKl2G2IkZjxSreheLx757spka/8s7
8vfy/1+D/P6N+vDXj/E8klOQHRAV8W8/BhUKAZnGd3eU/QM9wZBfqGVkCwyu+VBEa/TwX/883Pn/
4S+GPgF5Q+R7weYQCpAW/xtGA1WMWTLgipwLWwjEHtOrYahCp0uFgP7PGpls2P2UQw5rJKdUPMii
vxRhlKFsokTq+iJtaczuQPo18aXvaD85+v68dvGpimnq3BShQWWYlI5WZs0pkNJlDPYiRoXDRskn
CyzDfrZmLVB8hMvM9xdpTbNCnuwwQdytBsMkgzhviiKxi2QggAgrgumWD8eR85wx7wSoh4XCRrY3
k8Xk6Rn7P7bpCOFNDOnfe1VtszLHR9nu53DnbPoIFgRDneC0jHBYKSdlXRo3yVm3dU5ATVG1mBsC
cqPMrwgnovKg1YHNPI9K8N+lahxIHGAXzCAOjLthzbBrkRdzA8wLYmqbQY6lGVja0O1z7pIuqjS3
ETBapnI2q0og3sTwodTwaBQOha4j9heuaCiDdrwW2uHY8j2Uin6hOKerqneJvsPLaik40oRDXZLP
YCVbvhtaPEbYnWp+oFeun310IOEFbMtKHEppnA7CdRA5+dtAhQ6pMkF6BDhaEW31taIIeHSasXUv
aJS4CXptXMVV7hX/j70zWa4bybbsrzzLSY0QhsYBB8yq3uB2bC57UhSpCYykKEcPR+sAvqv+oH7s
LVCRL0PKKEVljXMSmWEK6vJ2gJ999l6bRnrfIVxF2DB0H3Cna9LyFS1le6xdafa1VmxUtoGN5/aE
19yCreVAiTvQMhclbyZ3McBX9UJWdMPHzKG9Lqu88kivumPtFm8Fn8DsEWP4mpNgI/eazj1aoEuM
gLyDuwIctyM4/vIqFUbilZJ5HK9tE2N5h8nBqs+5HVjAHEvYLhUN8gptFYp0NQz3wCXt4JIprWru
5oyo/g4sc25fFcY2Hp0UaNhbgt3WRM0AiXtQC4ulvT13c5R2Ng5mFEwnPqktzBJRHByDXjXB9QTM
cEWpl5WujzRLR26xSZGXWUOTAmihUFDHJ/aTgfDW7vHSjCXlARmbUe7vxIPqg2rZejxj33Nhm7a5
oJupzDsg6n0bivyyKXnbbry6caOrVvUaKwob6BITtJcOV5iUPOdBtNhf860bVtYZ9c/l6Yw2iNSp
o22CWx+ta4Q9Wm8CExfVVQqPKL3kCMZoungrp7yZmKOay1EJQ1K1aJHz2rVRwS5OwpC8xBluBy84
z4J+ma+Ai9G9PUgdODvTDWxhNoxPS1LsFnYImXNCdXwqTzWKZPsMJ7kzt5xiAcTtFmBu4z0aj8CU
Y1so+pwHhyKnnz4r+6M15nn4Cd01kFx9Fifu493g2Q2TF2WeLkExgtJls9yZkd0mQaBuAHMw3otS
WK2+x5HqpdEV16y6jbe0c4Cnu42tiBgGYXc5t+ErCSk26merGaJFhaqFNd839SQ49uKwn3aEUYgE
b7IRwMMeFAILZPAobQPxIQsyDMUyG9EASfcntHQ52oDjqbmURtc+SiFx+pkPH6AYq4wkkILc5sRQ
gpNXhwWXUXsiu17a15HMrOycJZ9l7dnTA81pQx8+6dQjIe5a4hIEVCx70GcBFw7nk5VbcPcwbkqY
n6GMxXne6/ZYKWznu1zwdmyk5WS4p1nR0CM/x0tvJdtl0RXsBKwmwK03XttNEAcXugE5aCkYOm10
HBnSFepeFbYmBtkD2NFSG1PIZNj++r7y4+2Su0ro0ckaMZxHvoN77SfuDLLUQHDDXrUCX4FyKAf4
9jhT0s//H48TwkgKuFe6vvg5eOo7dl8INIk61+AsdaHHe6iR0b90W/79JikFt0lwb5xDfrpJyiwN
GwnIZGM1VoTIVU7Hxm7OutZvL0QCh+jw66e1/n3/OG2sLx+ohg/Ql0eggu7ZH08bMSiMaQnWFM3C
kAtngGADfDH0O4lpBn4304eY7Zc8BiP564f+Eav18dCcCbiKwIDirQt+eudqex4DynVWLwqVNZnJ
i0PfYFay7dbsfv1Q//wh4Ul6QrqCoQGLtffjs+Rm7ZdYpxPccW18PSdufoESpf7iCf3za7k+EbLR
QnISDP2fPiLDPBed9BY2bmZBBmwIxx/suPSfhABygMrIXY7U5elIwOT72/jvZPvfHBLjvzDiXtZt
/fb2Q5j94ye+H/U5mq85dr5LnNo56YLT+/tZ36KDnI0T3lrUS74AhND++7Dv+b9FjqCJWYp1PpC8
kb87bl37N76U+ChtPklsHGHF/WSw/ZXhVgQ/fjD5xkUsXm1ucT5TB/DC1Y/7B+pYuDAiV7N64dRl
LUdOI255pQVNoWver2nOFE0T9AypvhR615PSBr2hJxJxFspJiE2HsonUrUhOA0heO13N1K8Nr6jX
AX2vHPjWpfraA0tofe2EHSoV9g8ZTZiYfDUrRLpjA5jjGIZK0BKDWEWFqPms3O+Vs7Hz0UDbUM1C
H21Wk4Lr0E1KWk/DB/G9whYV1e6ry0jgRh8PqFXFcE/N5lDczGoY/CegYYW7XzNc9U0g05j8HaT4
6CUtSSCcC59pA4DyMAX7qGRNtM0lYT846oRWzpXLbp1xurcbgrzkOLmRdO3JINyxvfc9ot530WDs
/loznz9z57fkmTQs+U8JRtpcxsJAUX5phgYt0OWGz1Y0oyoJ0Z197hKvJUrY/Xeit5pu53dVcwgx
rEraWPFCH7D2h/W1HGu72eQjNW6HSCA9cjIvveIWuyqOunBshgBxvPdhxvqNT94UEMK2Fw2L2UQN
wYgXK2dxPIV+/tSR1bkEeWOrLbGa6ZuGSjy80WyQV1dEnGyHxVinHiwOh/Vagxe/4fvushMi8Np8
0hwTI7BTKps7lDIb++4LfbKeOAeYVITvjZ6T7CmCyNleS62i7kg63Qv2Q4dUuk9otPPOkbLFLTxh
HR44Qk+vpVuWrCUpteqxdgj7zqp9SRsN+TR3YxVEBvfpUuG00CpBJGp9SmCRh8kObxbG6C9oXtX9
wibd25G5HB96vmpASNDLsg2LSXkjXaJbcLhY+e7nMJ+8HX9Efl/VtfttdMOeAhp7HGHz1AwFi6zY
FuVEf65baULsH+lQUbFNVVqBzecQgKDX2zj38IEk1FVVJ5R9hAfHTovofAWcs7uxU2LxXdcUyyUF
bVa7X2y+zGRWLMffJ2kV5VfZQJD9wJp9/qQHW18msoyz85I0HeZz6ufVtexSV7HPgNu66TmTfinC
oaGbD/zaN6aA0DuxWW+Ijd1YHud/4bnstHq7uCu1ccIzYyx2FyNJG0XIT8zqJKA/7ZAWacZImtQF
JlgjofFwknQ3Km2tGqoFBpjNxMTLYNDnMSyHaCIo6nd9257U/oLqiNNBWieDZuo9JZvsPMMpXlNC
WFEwTNCr03gcF6TEQoEThrfNjeKp2w2QLuK9bUYQPpRVszbnTWnSM1P7YFJFu5hPZNeS8gQQeH6b
JDWMtnCZmmbb8JqMuCECugYTGVBpyFqJwA9+S+uicNlIbMKwYa/ekFIjegWEucBXMnfhdpr0Mm0a
8i0PXG7VvagGjA5QwluA+HFsxENewMtH3vdNcUWv5ZDsVJwjCCMVDOC1SsfuDpkFofhphHTl8AQ0
kyY9InRGLVPpvPAqG3Mz1YG4zYARTevKxrLuo2YcT3ni1n6oqvDFMQ1VNQL4FOCmuER6yxiByBOg
51Z7lbqTdxgrVB+kPPp4wWk4ELFYU0xVe0o6e+wQ6HuqnF3iPEgD2iWitKMG19Vf3LKujjaed+/G
1aarD50DOmQD6IOsOTaP9GVp/ZXqJ7mSu2zK5ElNCt/DBKmab7IT7unIVV5/Zm/nJHvO+yCYCRL6
DuvpiqyiZxxHnQyDGz3Rxl4/CEW4H4HZ0tMFR5Fl2QdyHCXaaUWWuaWamA88xrhom46Zokw6CoY5
uTIo8O4lPeWU2246HbiPg5byJRT49D53FmmrAyyehnXTlOT5vR+TFNzAU/HSUzx8jn8mpmAaDz4b
4prW4dq+z6VHGsOvGGHOE9HbNv0+0n0dE89XMC2NrPfsE3LvGvnK8N5ZuoMD5uXQxgU4aZfL0kK7
GFG6ed52DePbe4NpumSdVNKfjY5DCToxPV9FIbkHmyXBfJNkYsjklj63lJGSgz5eP7wMOGiAjqWk
CV06ngdrPA8LqZKjoCKbhqslD9hYMQ1a7WuoVKyof4bcVHBRQAfy6H8slf5KSCKkF8vuavGGFcb+
hHNsXt0t/piRC43gKHBhGSWsgetWDTNDEFx2aBk5LhUKpATUjWyuoPFz58srnPVZOdwQ/JAz4BKC
Kf1OtOOQUdvukO+mONvFlbN1vdy9A2I+9HR8GTpspmlynB1GOX+5yjrWfWd0gzl4+aQY1AnuCRqX
JcfqWxGiULG4Kr1GnYEJx+jhOxxvN3DVO3rqvDAZ8F6qMH/K6xFHAQvmjHmS3UXtoTEmQ4LKto2y
MunfUzoM6iPDpS/lvo71VFQHDOVh/8K+izYBujX7HtL5yPYD12Qzu9Ujq6LJc3HshkGCxMKbq88K
tn12AbmMFN60j+gbmi+rCcfpHtB4OR5FN0CP6FjJBCdIMClv3MJuWZDOp8NgwmDq211MCXIcir0X
2LQhb1h7a5LhaWQPRH+l50zYMqehcsaT2bWmGb8zvdzLGR9dxbXJnSOZXBYlJk9CG/7cXY4O+Jhr
Au0GGc6z0rilMc7T/kWP1upeukNrBcfEyvqckCqZvl3UGMlcHLT1Mt6wYLfmByZte3zu65yeoY3V
NgvG/hRyHfUNqpHc0OCTtaxuZaApWpUkpCFNZvERGI1V7QWJ6/g5jsBX7MsklA/MZdElLxztc4sU
mDAllTIYAhpsYl/MqhhSxRmr+RjpPBDnKaeB/GFOAHm85Lj3Xht2nviSatKdF1PA1/gstrGT0skQ
CHOTl3pEJOKQi7l6qKvkiAFFlOdU1RlKBsgE9E8ln3Q+hdiS2s8TbP/7thyq5wDCk/spKB3cNVVI
dvtEL7ZOYYn6M71JK/WDS4pbYBMcTTucOaFJrYeiKMiPm6j2aawg95y2pyGKK9y9PiGaUvWNuaNC
MDb7j/P+v0efv4lfTj7bl/K9revqB44XP/E7xyv4jfUBaUHEfcmQve4rvkcNw9/ot4ZZGCDBuyF7
Bobhvy85vN/skMsGfUw2GkTg8tf9Pviw42BhsooFML6YqVzxrww+P47+0rM9JBQMa4xqoNuF89Ok
DP7OiT2N5YNv8+lay3FsPDNi+lnmv9A3fl5zfH8kHohXw2WoW7HPfxiweodFeUzfcFGF9KonDXcA
5qGU86m0X6Gfc6n8w/j5J3uVH0WA709tJaiBXGYZ9E8CDn41k4B03iVJnp7QGct+OiM19m3mSwKV
ag1/BaMrmAaANDz++rH/7GUN/JXNRuqGl/enlzU2Tkq7IRgOG4F117GlnE/Q0rlmI+ip4i9e2j97
tDAggMlKbJUif9ogYfbvK1acO425lsQl/d24f8zqmDBEvcabXz+3P3tdEW94am4Q+OJnaDh3vwQ6
OscHmdHfzEp11+eSyFLm426RmOV15t3kLv/49eOuH5B/CGQf76fgzRQ+PSGoOj/ri2Pg5xpnCogi
h7pAjsOkqAN2y95b3BbdlhSp+tc/QTSjITKurHmWjT+9rm4VErNry52DjWbBBymj07yJ9WUulw7z
ce5c4CzAHwiE5C9I4UiZPz9bwYDnSAB//BPO30+fIOnhPp9y98ACDRIQFucF9JFwiS0MXE6+Gka5
y+SDICQ/aEJOnwRn9DzYD9YHbcjIlTzU+MF8B1OXO0SFfvvu9Mv4yf/gFem0ha6KfQeOETN/fUED
oiKA6QzVq2llEG2AHogbtM92Opnczik/iYJd1yYEfkn6GK253tN1CZAomOJR7mZAddfCZONdQsRh
2kFboteajwWRm7agZbRQWp9bbk2jWp4V8OvsVOKDLsTiz/up7WLO8blk2CCwqbstYdK6PsLnz8Eb
TC25Jc78vp/AFysjKj+39ZxlHDq0CGDoeOyDmHKykZGB6iECPqMpv9KPPj1hfU6Dk9RJczrqRRfc
jpH2D0a0lCTqBK8cTaDLipWvIuoXvbXhlpgo/vVkTnGsamynK1CnKh5DoDEwigq5fBlrP022yFa4
1+GgetREdllNz7O1rvraOv+iqIgkOI2w5XKEQeQ32hHVSdR1sLBzi+n5kIUF6ZXOxWlLYFdBJeZk
Cp+kC8WZTartnSxuDxcnjLKvcCFgW9BRlS17FwjseeBnY3ya1WIUj16iKsxxk8qrMxrINEEGbFLz
c1anpBLMPPrOU+QlWPlwRXWyvPLJL80bmFfOTGRj6qrkERwQ3XOEefyY3Wyvlb7FmmFbx7nB6YUp
dMDbGSO+iLx5sj5KajDwUVgz1q4VU06FTpbjd5zQW65zWoHaTSmoCT8kfYmLp0jJCmydegoM18KP
+h3iuWF+R3dkylrTNmQmINLWLH28EOwjOzYiN7DK7axUsLq0bz1xaKVkaWNPVr9GCjmpUzcUzo4/
P7sqLeYLuI0uqafGI73XZyO1RRTLQ+Vb6wFthW0s6EdKmUP8nsGVQ3WQerMHq3buRTjF3iHEFkNS
RzcMYTuwjZN5QrCog42OCI/tXL8V8TPfL+Ac+WAjSsyyX3eRYNm/DYVwG7LWeR5tZ2cxfB2jEJg5
KbscIkRgxodSNpiTbOUhSnup6hNgSWJ+SsbIPMzT5FNlRg6RpnMNZXeTxpV1T6rMPOHca+4GwZ16
6yxMIWCFRg62Ia7vy0K2wTPBl5jQgePD7WXtotlSZdjepjISV7buBpKf9cQ6EjXK6lHe6iC5QHir
+faxJ71PAmf5hI42v1nO5LxEcJufPZhlb2wkWUY0/E79HqtAcaMon35tuzD6ms8xLUdu7I9bu2iH
/jCFDYGbgqJaEJ5lYN0GTUJFWC19702huTIUxpW4hwWlGyZIdm47HFDmEU2E606Ip45wMf1s3zw3
8TWbrpBgFNEmtV3n3I4UItU2X5rUg3YGkYRsRHUGazd7dujL4m+UUnyFZ6Y0iaNsSfY5a/ldlAjU
0rwCGLRETZ1smyFHcSn9LLa2mB70o7Z9fFJBz/9ski5hFjSEQR9zVaM2gaO3YB81LqpsQucFk5da
+pXMEi8YpD0d48l1c964CE441r3Yq88NWKM1F++kD5ZfYUePBQ53QCOj/6TD3LE3EUWxwa6NWeQy
vUXyrifVQhQ0bGI+70KUX7ox66K9jYuyPIispm6VjanV731vwbRZEgGqj3E2wx2E7oWOawCxw9sG
8nsZgy9hRHelukNPAH1U8rTOQql1cg21ITX7sosS9or8HIMNovU834DXIWrgOYBJz6dygE29iEma
85VHEJysAczgMPFti3f1qMnVUGTLIt9tivTSQx6LHyITWctB2KIoubqTgb2n4hZQXNUELXXS1oyp
rjSdp3YiM+0M7TmYij2926LfmwLXy+q5E4l6j+g8iD4pLZW6SGzAPIclWaLiRMrap/M7K0A8wB8r
kq8Eqcb2om2gJm1kGor5zGkItu8mbzbNTa57LY5cc2XKF7HWaOVqWOszc6vTbxSC5xerg9Xax5wH
DVgHy7YrKtF1KS55Xsvy1A2rNN0jUczcTgTt2nd5hhh2PUpc2nto3vjtOam0I923rj2fJ/aSFQfW
henQbZVBCXjF5YFWxoVAdJpl9uybs9GMHnjbsSvTnSYpT8eKDZpWc+mjyw5QtQKR+y3RSXJnYLEe
e9mm5Lpry/raNUN36oRgd2B/EQE8AdNOO7czB+s3j8I0Zjx0XnQMdCb/kPs+RtsoVO2RHhdYS2Sk
sRF2C4zMLcErOh8hPNXtDq+ufBvDRjdbmtK6EyftLX8/lX7/jMAlHtOgipOtBc/mrZurmutP2jWv
JuFWvqeisEFBU44qT5Ud0jPIXBo/BsUcj6gFCo3xQKH39OQFHrAhB3Dd0cMIvL7fZinI5ZBcu56X
Yjnn7p/SqxEHcciiPmuHiwhm1nJpsspx7r0pCR/p+mBdEmoZLnsAXmG3BV41uniyM6y1xk9NfT+C
qQrPcFRFckfZMmHSJndkeY7sN5aXdFASkaPmri8/p61agicu3lQk5FYNJtvRMa2nZorkV+WE/hPK
QvTi94F1pcAR8k72gQP5W5CcA8I1n7IF0MCFCRAGe6JUtXfoVW16lOMJDsoCoKDdVbGVptuaG9Oy
9SwKKpDFHV+fCq7ytIPy9TEUhczry0oiZNx2QeNm9CSM6ovw5XxJypA0wDhy+CFbklhfXCTDS1JT
GewmPwEBjhBS00cSB8tX7JTdRZ2DUblsKmoit+x1pXUI/H4qt1apwvYz9Qy9dSCR7AWvUzhH1Ym0
gGydksQLSMcMJD+JGhLvO2dFMuXnkxVy4eSA0cSHJJ87dbCowyTMSe+lf6QPPKgfUh9O7wW+jzE5
2hh6yXqSMVjNNQOZN5j9HCW2iuVKR4WJxWiE3ZUk547YmXgSXKvwMtHiFW29XHTUlNmAFsFLwGzn
oNapc0xe0sNUluhXdFaKUJR0Zw6k0Xy5zGPY7tuYW9HalJRHB4grMzWKfc5lOIPH75COHTxCmrqP
h+DrqqE2xOJq0bpbWm5U/C3zarxnbkCQbmenSZp9LiMc4wTEefnCtwgCcLEv+Ig9Br6sXy0IYDwd
d4Yj4toSWj6rbvulVva8nIOmkHD7k4SVylSkV71xpueugQC3JH7kmbuU4HG9cwknRduuSpmfesxx
B8Jo88ki6Yg/lUiNV6jf2Zcg8KrPrCxbFHKqRoPdkI7ctcNRpV8IpbhqG+O0wd1ve/qK6srwG+0e
2D2sdadC3rx9btw5Iy+cGzK7gehFeYH4OF8na+3LhusvsL95zhU2Ez3xde8EYQrXGcExpkBO+5Ox
rUEGcTSG31zUnfsClnr5XLA4pC5glunXEGYeZMaqofChtH1zyS6okzxiE74MSdTcR6Kx/A1vPT46
p87qfQ+r7SYt8Wtzw2/t08UGk0G8V+Hn62LHeqXmpznD3kUUaaJ1ahWFJcsbfs/iZeiG6EYYAnti
C9V0BOXJvTw58+iH6vCRr7RP+4P8SXgIBCJJ/mZPxB+gUcBwQaqOvarasqcub2J7JYlmcec91Ste
VK+gUbEiRzmRQR/lIKou4xYk6SzpKDgQpMgv/BVZSkSQ5IEjjD+vvUEkXVwdudxN8SV/4XIF9zTy
QKCaGJsdzj7AqOkHI7Vz4+Czkw3dbWeW5aH/oKmy6aZ5iDzSaDbzClz1P9irul05rAmFFw8QZjDx
aygG1TFLJiF3wQfBtfuguWIShOwacyO/LT54r3gx24vSxSzEOvqDCPtBhxUrKLY3A2MAxFR9ZX+Q
ZJ0PqmzlrYDZIKyA5XxwZz+m93+Lg39Dh/uDkLF76V/+470itDdfoQv+r79t/8//7t//4+v/OIPD
2r7/USP8+MHf7REuWqBAIsSFgI6DuZm/87tKaNEDAHwHU3OEFQm9PkRZ+7tMiAkCExQqIJdId7VI
/LdMKH7DUYwXix914JtJTL7/gj8CN+gPegTAMxcJBIMGph24aWiG/Pkf5Lus8Ka4aObtUFIL9TDF
KuITOyx1MDysjjd6dmfIY+1zAMch/TKkJYuUTg3u3LINafgS7Aze3yz8OjW0GHMj0dqvv5rSAzd5
OcVh9YQFgNamKGm0dZGClLxv+lbq0yqOKjJEGEZVNxavNieRz2Ei42ILEDaMzrjHkWvzM7PQTF60
7EC1s0zfIkx3bFbJM7AgEQ4UP5GHU3qRi5I1TVg5w8M4LBnBrsahRXEx0Nk3kanzW9tL2jPKeb33
RdnjvE9aR3g7XhQnv4ZPkXkPtQP5/8l1WtyZEMqdU4jr5Rc/KZsgXplgZQuxwMzfkspxb71iofFr
CYfkC9fBimJrWKUXoWUYmYOo5/eN89w1rE2SwB8vIKf4K981BCFNE5m/3MIEJcrVMyRxt+rDwXl0
hzTVK9w948wAJ5fibAflLTwEbE+BdxbKfB7STOTHOU8EadveE4+kpgNaPhyVe9uWPASuB+Vrg7Et
N8kZHnzyWR4CR/9K4jqTTx4XO4iITWLpLdjYJNgBJE04cQRYCjeYaWZahrzKXw6BavNu62hKW8iA
+USG5hLC0W4kBPU1lhxnDwMZ9gtwWgziS+eoqyjo4IZ4hVdEW8vx+gfL4H3YeoTjcDf0dr3Q5ZPN
D1JMMf1p02SLN+lOtAJ4HJNDMsCOUkfsLm2w9SHG5buhzeB2sg9MOmhEpHEYYKo1AtgPGa+5T6qN
20IyXPOmw8Fhc1TGW8zZnPwb1p7FpiLcGOwz5C8gCQU3NwlKI9jIzkVHJQ4UPVZV3HNCBGdzZlRE
lEQRMxObwQxhvG1ISgC7LXpKYmiJiKjBSTqclgGYtq8Glj5YgahYb+NVQui3FQPL6wIEmjxi0qjU
QQBhuImVWV40tdPomXYMns7UCZMRbgwW4osW05fQcqc7p7XlC85sZnlcNVg1RtqvSKANNu0Ss+fl
rJvUGL9kTrS0m4C78GPa9F7DlD1V/paanumu0WP3BI++uh1lASswqrv8PWuIAu/q0qSvakoFvffI
DxszttNpMXYWvQJdlPH18YV3ggNYLae8OvqbodaJZ4Yg/slKsvKR/1LeaJvCub0ch/4+T1LvooxW
RhYbyQQ7QVa5DABNAYBzEhwLdzqLxufMCxIQEk6L6XwwBbZjk2j3m9O49R33p1ZtW5b0oBPyBf8H
s2H/WeEbhs3V9XRqFRSc8X6sZQJrNyGF9VkPwW7BkFt0KkCixFiRY9degiv6whUkkia37bOOeZq+
CavtwebK+KVcpgx6VjZgbFkTR0eS9qTiranDB0Ikn17yxbYjFqO4f1Y/+vxsk/579SacKgDHB3G1
gFJoib8vuKztPPHNBmIPpxEno9q+o7k1PFOqpWCCdPUrIbDR44gqZbOz7bq85UFFhkm7smooJI68
JhmVfnbjkEi4Amt+7LQMXmuEuYpJhp8DgZTMj5yMkqsOhfq+oVu92ZCFqD5hzO7vcBR7xxVwi4/I
zZ1DDWVg2FAdNTylkPfgtqmZQgtdpU13KLsOYlvWy+wsbiy27cqKS5RcCh95xiWCotegVHBtsJtL
SUofc5ddWFcNEJga0kE53BMkmcwOqbe9HyrdhpuEcevI82bYJG9HMyEPBUyujVaiPkCItrz0ZZk/
40epHhurbJ21bc3Yu8jQk73HwtyYve9k6YXu11GC5G/SI6qBxd94NMF38P5d9Wp5VHNB10mk3MnY
AtrTltl8IQe5DsJtVrxPZeJPm2CJ46vSbriWLimr1HQYDOVJmrkE2D6hczeoodlNSZK8uSssZGNY
9LabRM/VsA2GxiHEjqEMiGyk2dF7VUzovotB08yGmhqCf24OGy0Ynr0MbAQ4OKburVLY7rcct7wH
5P8VRIErTZK/HJnncA6M2yKsZ1h4HAU+MRd6d3xSCJfYUOy+RnGNncS1q+SJMKL3UE42kcxY1N1j
kc75WS47wpcuLGwygewpXkuDbrVxO698NoU/yxO44nQLDL7mYzWlwfDY8jbBMVpksMImZCJ4q/Pw
re+S6iTxgg7BMM7gfSmKqaZDaZE+33JXwKSW6TYS6//3CSGgLdHZmLFP2FRdac4pVIySE0zu7g3h
BRpRqBWErcPhNb6uYI/XWEyShOZJnjPDsGWbU4CLXrRDoma6H0qkR8S1CrAeQU7Ig35LzULPVZRg
cxjCpItDzxx1QAwAbmZIdqYiJyzWiEYCToM6ULmBsxSY3TIWwZPs2vYc9KP/zQnalNJ7p4izUy1i
/mNPxLgAQqeHhYcGXY6gTPqF0HRV9M5JH0rRXQ5Q+2NGIO19gkBtvXdgih8MnGo8clHBM+vdqSQ6
QKMtX38RV0CCgH96R6eAFAfWPHKTk6rqrIeyHPkyTLiSeKmqgsCE0QnImsGy4y+WW7rAuNkFvcRQ
6MEr43NSO8oB3VcgZHQTu6kBfMBr7t7GonG+VZIOHKdP5Xur0d13ZRfn35LaEKXJqHUbMccv01E7
Q/sNjPXwhtCEq8boILsZJ/jX3J2cBfMg9IuFl70fYeJ13XKhOjd/A4ph0XXkdf7eYW7CnpmVLXWW
yszD1guc7Ap6SE/W3gn5+ADoLN6EtDyzH9ygN8DNhOT2RCXdC/mQiYZQr4/ejD/kFzi3vEfufTI7
8vlH/VDl0l8mCsXupKj9qDxGQygG6par6ZYs1/I1ctruAeGR8TytiuDaw98FA7BqoUeptmsyBOFO
vOsIWX/Tesl07QjdTTufq1/IR1srrK5ZRXYvceibgpJI33MPhKw+HxJHRye0uvRHkB8K2R8f0nXR
AqnapHyGPK41yrnKKr6jGsIBV9yS3RoiurNAChhDh3tCYthHJovsn2mhDI9tnY2fUo1pEtx/lZ1U
cPRI5PKJ4TA6Sn3T5hwgdlz2KkImUptjN7jDs8WVkiVDrcwRRQTsUwPehPs3ELd666TcNE9UELmf
SzPz1Rjoz7rIJteigWSe65c24kmdt5Wjz9h1eGjnWGAUdh93N/ZkgzjEdOF948+KkF+NMZc8AUoM
3yvoZeC8NMqdxCl55L02n5xWRN+ieYVfoH4ImMDTnA8nQkD23VaxHL/42YCLlxwKTdzo4O45Hgjz
rGDWWBypdPVArWV2T0xqYUVTCci6MH/mfWF0dloAGZYWLmdiP1ZwBmO3eCdDkz0MMAXt09wDAjYB
3Pwcs4FAXR11u+0Lh/QUd3TEOpt1CtJssZhzNUAY3tB9CchmyrDaUQZovWc64ISgmwLUTh62fkyI
s0iSg8L5ecLOb7a2U9Ul6sCcD0PPRwK8K1UCjbeyguUiNK2aduMSd/YuARVFg+qwQE4qgjguD11J
Z6uXNH1w8LtaYwTHqXnTQtJSG8dUaLE+YZh6EzUpimc+qoA4dUOD5/eYw780U1/r9+q+b9/f+8sX
/T/XH32DVtemKun/88d/xQ//+9+8zqg//AueH+bV2+G9ne/eu6HgR/mL1Hu9/pf/r3/4+9T7MGum
3rd6qPr1b1O0Afxx6PVZdP/fad7buiRG0P38A9+HZCF+A8rt2UhyEYYOPP9/n5GF95sLQtsF2uiu
4eDwH9Bui7wwHhCH+ZnOO/oaIzbpv1tpLIexG387FAv8JZ5YfRp/f+a/G0x+GSL4cUYOySITH2BP
tOaVmZijdaf/hxmZEBkspjyAjKqGNiDg5c8oXiFNzUtq33m98g+xGWg5Fk4zvtkVBXmUq5b3btX5
/T5rcc3VVfVcFNWEN0a1cFgjgRF35J5fc3kJ2OAZ6kxoqW3LZBvh17+sGEcQoEOYZ5iT1fBgfD9+
LBzDfW5EqfqiScFecKWshx0omo01lO2yUwxWl4SR14sQyc1LUpLL05xIcU9WjwuPwh6alskneJn1
Z8t4NafYQmP048gUnJBundS2NuE+D00M2r6u3qao5VP+h/f+Txw87o8miPUF9TFAhLx/IOUiz/3J
M5REpTPj6vRZBRfOw0Lfw7lPFjbbsmgOb+u5c772uSn2wSIWjgY9/S5bNuTNHepW/nnOI/NtYZUD
xqCHClnGRA5Ygab3rVtyPK2JoZ5nSeF7ME+Zh3/9y//od/r43YVPD4/vSoQe8bOBA043Z9a5QrKn
X2xvIj8+qdx52gdWGu4bOBJ/kaxyfvTH/PMDrr/QHz59XmwnieSgx50pBAMC/5RtvUPliDeI25kg
QCt9jRk6PLcH72Al1UWxFFdF4Z638cxwMe7x2G6n3Jz++oX4MVnz/fei8IN0D36oCFfbj7+XSyrR
8IH3keLhk7B0rM+hp8d/4Zj500dxXOkHhFgQ4X/6qGirQ3SWXItTywf31TrtvvH+i7rzWI6cSbPs
q8wLYAzKIZYTAEJLiiCZGxiZTEJrwCGefk5kjU1NtbV1Wy1nW39lMAQAd7/fvecO8r/5UY3/5EvG
g/SwyuFEIi70H25xjtYLzTsuukDqKGjWLKHssrQwoiB8DO+4eDU2BWQf3lTmnnciGlQIDYhin62x
ND+xig+GPlVmGVRmwhlL+wWeDw01fzSdrmSuzlALFhI4cTDEjJ4fRB65VV1KNEPjNNByfNUMDKJB
ipvmmVKe8r3Bw7KfKQzpvEd8Dws9u2JmP2O3WhiqMyHT8t2kSlLLWjotOzamNMP8/Y3/rZXolPzm
0V399P+67Px9oP5zTfr/br1iufgv1iuU3vYz/x//66dNfn+W/7eC4l8WMF7hHwuYbv9PHGwsOKam
WTpPNC7if4i8mgkJg+Sby9Jl/O2P+KfG+zc5B+/igbuASqBySf6f9Utn1cMiSlcF9nQseSjD/8by
hUnoX69uG3338ZClU0EQ1XOExTL6/z5CMPhgUGkfhDOCSLBeRtHRftfXzOIU5VHT1aq/rM6oKQB1
h1/monZ+M1pEvvDrvGm2nPDiP/rQ8O2UD7K4ewdE9mU0pLX9Bb3JhwBpbWxOHSRXxqQk9aGKP7aB
iiLwGfh/X3Fi1+QrQ/7FuUfz567HSNTaDkWCE40yu9ks6x3J6emOfNkfG2FkT+bYiqNFGh9URUVJ
p0L6Gotgm16qerFewxhxZJJkFfqh+zZnjVfshE43o0jtLRBV4zRascFxln8LvKwMXEL0p7zsfBSf
/hKjZl8SMXyniCJnOy+YTueGvktrVd0aefddRCH1m2XRXxgj2VSd2aya6DlnxmvlhhtZ7iBR0P/W
190Pc6AvWTwmVvxLZeQV1cwQLzQ4fTc8iQ8cc3LMObzlceSPT4+6xEYhbp/QaL2l6+fLjvgCqUvN
LvCvFsP7+zHiEnt5TQfk29936QBpvKjEI84cFr7HhH+V4VoEAqb5CbZ/v5qEtS1V95Fu6MWPmbLS
uwPxIy/Wx/4yaIW6pTIquwg3jHcw4CYf7FsHtUP88KtSy6WBENmpCuBMlDxN2+QsMq+GytdMiIG2
hl6OZAf52Fj47G1PtuIyh20YAKLLLiOuPXDZXHFnUs98EoW3L+xaPQwMCjNvtvIM+gP9Bls4oFNQ
MiIpYZPZI82Msf5dDLzmSBepsbIEDQfYM/nxGmJflI3Y2ebx5aaxA8JoIp6/qh+NmKmdY9XP+YvG
+A3QDSOTghbZiGr3+FpBZdpb1+Qjl/DcfaMp6EigM1RCpfKROKwftIf2R0B42BGQs7c5O6ZtanTf
zEassykyyAlKa/4CZ8a36MhzRlnAtZxV3Bb4KMj0dXd6N6/IDxXIkqbSd7aTIBIPY5M/t01vB2k8
2hclabKD1ofJBhPjw+4waM4dL1DrZ+QeLqKfnaBmNomkCqSSI2FFLacxVmtC3oqvcNueG0h7gVpP
4YEdq0G9q1v4NtGKjySbRs8yJ7iidCZ7Qhi0l9s9cUKFfpbvBYzatrQ5NfpCr8KtPTjGt6E+agv7
uQJTjNOrCoqwFb5RLd2pj2oqqSqn/5OOIoeW60YpZ0mXM2kLG5nMb3cZueCdyk5pqZnQzWBgiY1t
ZtatUUfjraZJ4ik1SSi1tMc3q9yY40/E6/mwLFZ7cID84iuZx6c5stMzV/3w1saKFpSE5qSX4W/2
aQiJzh0NAXt7GdW1VuCXsbqK5TTSrCagIVo/K3MTPrlwerm0evc6sFH3G7pPQJk0+imb3eUc1RN8
slA3GBVJwOTIAZSpyTT22lZWXtS7chur6tjA748IhhkLUcgxtc69NZCsKsPxWa0wLDTOoHqLsCOI
fAWTYUwd1gnqhvFV8GfX85SL3UCr0WBb3ZPGo5KhL7iLfU7NNS1/7tlKDAWw76M1suleKEpFVBmp
Jgmg5hiBEYLnfzSVrA3JLWGAY/D1RDd3CswLbygR4KRi3ivgPtd40JAurCp5zWiv2+ulYn512NGZ
NunglRWoveyLmz7bF51uMbNm7LXTau21g6X25ua2eBtqCzygMDnpj/GLnZQVW9ieEYzB9mTRinmb
LDR4r8Yy7vdm2YV3oYOmSOgb3IYYga+DFQ/btgCSuCKCD2HOyHoPy2x2gHWonCwU9ycEfTLSYS0b
r1VJcgprBKTaYXxZ1xyeIHQ6Sf4N+/hP26Prx8q0BVWDoE/q7HlgCL4dQBqqHsZbRCcaT6jUmHB/
6AyI3jqGDTutLwtvhEq2bafYDrBEtme+f2QU/CZ0iRfpBbtvuXaQtl+jsVlW1qSJfYwl9hpFk0JP
Q+/4dF1OH5NhJ4d4CRmyoLgHXQaaQUz0/uDXzoNYb3BrgSpaqZXecpSyo88Fz/ZKtDh/2Br2vroo
79kSLmj+bfWQbyZYz4uzFCcS25Gvt7q+o68Dh2BCN0eLcohop0nKeIvJDcRAobRZc3uHvfwtzeHU
ps60ohIc06EiDvkE0tXtcrlTrdndwvabwNpXojrkRUFX8jC3J4p3+Tmoj8TgVjOnO8Sc3w4zqVNM
Yq3OBaWJhpBQHW/ZlIxeoU6zN7vhuCN3Zb21Ui0ChdnQb2WOHPYA9Usny2TXVnXx2tXucmeM7Bxm
Ghkft4RxhtUMw7M2Z33f4xQRKyuymKVZZEZvSdLho1oUsZvA5B7DuVq2IDJkoOuwSC0ot/6g0Oyq
L1p+BqkerZy4azb4va1AocAB9lPFDeGwILfS3ndLY+wtGboXXbh9MFGYvQLGF+9Y79KdHpvpTYmi
p3wY5nMkRvcAbzn7JvBJxy6Mcjwu5QvGSJ7Pmj56taEXfyJtLk9WQVspnVtcxalZrVGkq2uRd88F
pavuqrJCe108GOkUJBXuyqGtnsYHPPVkXwv94JQYYtXCSkO03treW/xBTtmyuRApU79TsmcH0urx
HQ/ShzJ35gEox6PcwRzKtSuS4pZjszrOEQ81q2oeRnD6f1oBoNQgIsRgTGP0p9Pgeemr5jaRLdgA
IDqpltncEht3WBPSTbdqe30reP21UIrroEyln0iAPVj6H7ZNZdyEcXGpY3HPiHFeUaWl3/aS+UUT
SS8GsIcJmUOKUZy4V2cvariIcavvR5vjR1HXxQXO7rUzWACSQn+hHtS3iuWLHSxFxlMSrytX/HJh
GRzy3jGCulUVblrm28S/Xa+282cjsWl6b+n3q8SkkpHHO8Q2TfFUt+/uZHrsA0+aMtBGgznWQJK3
rDP5tcip+gUjEu5U6CTtZRFkNUmJmpeuVPALm5P7lEB63XTVSE2CGy8/rdvu21GVz5rowgtgBeUs
SkcGZqNHawkj2kfnE741EjBPG8DHIgGTrFek2KWSG0E8GvM6nS1jXY+D+dtInDLIY3tugplmllXe
d68Wi9upSKeGDgJ4VDtTH5CVKXPUwZLhYfKcwmr8eS7VV2cqrN+zNuXrko2vJ+wO5jTDNVg/Q7cZ
5r55ZHqntVFN/dqRjv1wehe+zCYo4oIB9sAtvTcEQvoyGp4ccivoOJfvU3TvTVUVBOMx7jY44Deu
7Er4/zwnMLFarwZWyLTVx2ChuzvosQLsrAItXggCoUk8F4GTW6aHB6Ql2oyWainjDe46hii6hlcs
Dg/UvJ35SsMjLiIdv61Iaa4Xs4DiPvdUjFOadUigDR+o64D8BIRqy8zF2dRzmmwUs1G/5zizNpie
sS534Ln5TCHuzWE5CHyT14lNQZk1ze/IwifAZPlX5wKrM2ncuoFEKDcAtc1jNZvshqVzrkV8URb2
bhoY1xUdE+rzrGoXmtuZ/hAR9aphdjYsDMz0ZluXgXSVDtTmYn7krG6/w3h2d2UNUou866LtStoo
NRAyhE1WpBKME8M5Gik0wSjGN+QwHpDo251t5saVO7beaYspTk7dkm9pGNC8q3aHc4xe2XMogV5h
ZRPTC9me5jOBaubXehVvXZqHr0OnaaQkZHoq8nE5OE7BgKatEwuvMOzM1SC15kmYbXkrKOL6YJre
qp4qrHADn5D6DVYVSAMmpu6rBI32BMQPo1pcGeGXoLBny56wu4tQfXRXP3o9lKQzX9FwxSVxrX4d
4j7Z4HVJcwisOZpiWjvOdXRrdWsrak6hMfHRm4wpJ14ZVjilq66UAyYSu/4yrML+ZqFYdiKRwPh6
K4qvROyWTV9x5cWaM2wY49p3Zu8Mc2NiZCtVVtopcvNih88nvSYM/agmlp0K2MIx0lOciZOmUMBj
0UKyx2ETxxx3KDCxU53kHkelJ4WKOa1nY0UxGoPmuvjM0ho0QtfJgzMR5rHjHl3LcpkzSWYVcyTe
cdbMHuGXVzCB1KDb8htCWxJEhcqesZp5SLNOHwegSMHEwPxSLHUXNLbzCYB+edTNDNuI9C91h2p+
lFH/mQ0FLDptUNaTZDceKWzWQy7ab0YvzH0L+YSdZONkpFZ4r/d5tltPHzOmFxbT7QEnqBM3CmRZ
xgaTFKcp7ZIT4Tq6vyDmn/N4Nn80t9Zu1DomR1enw2woCccsM0UGk6EWW7Y/N5wIv2YtbQmXyIgC
EqMlYjGMAfFvi/GMiPZl0ytBZpgwkofmOD3aQlQOpX4bmdWmZjJ/JgmQbSmS0u4kzhk+2TMhO4Ue
AKH3RwCM3zw7MdeUsbMtbHNdtXEWqHD2c8W9h23xkk3zc9GLYt3j8fHSZH4pSTarbUcqRI6vE4XN
Xoc56aMeHxUjRWpfDTiQr8qEpUC3jfsyyA+6KcvrAPyEc6CGz4Jb4VTXtHM3w3eCcSzICu1rKira
lwdX+hBi2G611uCNBQ781FjaV1WpimPKZ9tV7HfXzZI+IzHs4J49GhfH7B38hycRxC4oCIY/Je3X
nKhf5WMvlSjGSzuxSrohvlh2tvu0yPDGi+yXkpWp12sCqq/yg2WXqobqUqnTRzVWcm1N47UQRJhK
u5uPYWgpewsj2nqxDD83tJrMRczHL+EjD5rypkkSYuwAj1iIQLTIzOZx09Ah2GX6yUhrGTSLWe2z
iN1kr9YC4dRBsDBroH1RemZbqq1S1cTCirYaqMQlAnoE6KLSH4Vj/XCkZqb6PVX2jL99YH6VCm2h
E8IBP+xO04sS2c7BWaT7iwlJBwxGRIHMo32j6pz2XeO3ysq1H3NnpQuVcFR1ykQhLqTZ5CZlL+wh
A/3MvT3sRuq5QFJjuIJwrq/DEB44UIBDarm/SKg9L61Jm4urn5LEPcD2/2EQ/NuIrHXZZHtUXUpJ
2FMkvXCZVYSHpGLdRMk50xq3yZGBFNoU02biyaYWRQD5CERjP9/LXDkobvraJfV4MutZeaoxLHga
jEuLpN7Q6t9CWXZQK2I/0zjJ9SI7D0M9+jFJF9oKYhn0mvbWqO5bwv7W6/VmK0tB5SHLnIPeuqqc
bp9jrOhAbj7svdazZJHMuCBgTyofmApBOmIT30SExUaVzjT6n1eSYyEzSpJC9AgwdKk2oWlfKvD+
KwD0DAXAUfh5T1jG0XFxNE7Sc6RffrjAqRxLZ4JelboJi+leR6K4QTobNnAO90DVagSA/FUFRAL2
JaWxzPRZtu9K7x7rIZ/2ujr8QZ9j0lHP1KiZnUKuyXgho/cGhWG50bz2UXUtj6uxe9eU5lYJ7Q99
jG+N636Nc/STms5RFpxcDDCWhvsT5drOqdl367kOHwfcPp6t+GkZ+s+4asYDPmauNvwFazr5dlFv
te+1gjWNuUh26VXDYK+ohke7qNJAKJQk51FMa3iMzz/LLRxJbeNuWfHqFdU8ZANzFHF64gDQ4ocR
ykbWxX7qjE1bmfuiBOyuK9a2iZbvkmY7j7fTrbJmOaRh88GX+dyX8ZYx47l04imIczhYRs6yOuxg
KwCIR1XH/dfm20eNyJoKTutSDo8ubRs1ftSeST0zxW3kmmQHhFBVpUIhcckb1E8Ze/MIQwCaJ8em
3L5iZN9UbrF3pLWjFh2C78DekloBqAzkqOLk/kgrKTOF9OQgPq3UYBFRDXZ94waxKXy1MbV4Jq0p
ILHwUGAF2LKPvymLcuJ+2PAqT9aSXnR4m8GyiDN2nF0/tbRtOPlbGnVPsmahDKsDnDTFc5vBx7b0
Wi+4SueYZAGeUcOnLe8GxpcEczbf9Sneq3l4Ya5I0byhbnLI8+D63V0cZaHnJMPWsuroxSjd3lPx
LwEFOHAepmGqLOjtrbR4W/MoIxJMZqPubK7eOEYSrmr14STJ7c+21TmDZ4Q5esyPnadkev3U1fIV
kVDbdPSj7+MoV73eUc1NVuICDMIy7e7gMluDBuAKAcOlmouNfOquapunItG35VQx+N0NFQB2meCa
GsvG9nVUZGjeSEMBM2Ntb1Ho9SfHLbwLCWn5RN+mr74C/9NjO9qbbidP7FTL7zkz8zeYb+2u05Zk
32MT7dAIJpjl7VSUz3aL8yvsCu0Dic3cEpDWr5jju9e2Swea33B/6n2qcizvw31OBek+qkx/cLu/
b6m6szOhNr3i+KMBJt13bFTpo+n/LJqSH7htxVraJV/wHM3rkKK9q0N3zOM50T11SvwQjXqLo1ys
tWtMOzIgAbJcsqUOTzOufppw3PgaN5yUzVpz37NhsLxEtYCAyri52zIuX7o4zz5pjW42k1P16zhn
VTJGbBpqOyo3mph49zEFNrhVh4dtqU67j7SNQ59JMiahFtwaW2k9h7PGMQyL7LjBviqPnNYRHDpq
WBpuOHIhqA61pI+anp3EF4kIn22yEBj3Gu2BkWm2nWjytYxtsW3Swrw58/KHbrrwxEcKd2nVyXVY
UbBpYb6huDpSkx2ZjX7PitIdMEo2G8wZODDs1tDeQbTKE4eOEnYy5U0zJSP+qOjIJEaUPcXuPD/H
VRXtsFLm38PQ20+x6N5hkFOQag/KqeAw6FOLYq5CNsYYHvWbRUesB7Gv8gELcHM3KBotb+gzTJz5
uRYdrb09HTtIXdOGbczwsaAbHKzKmb1SL9qt2bSKN/QOG1dQnYc2UvJXIjCchzWe2HVJ1hbImHoc
WP+OnaWYvkmYaR9l8y59uGmrQXQ7B7fbLmtbxxOuqVxiNf1FQp3dqpVQ/MuxpaibS5+r0bFWawYZ
TvmSmL3+RMukjtZcVvjmehwsK4qpEL9UAdb74SoXZlru8sIla5gt2bG1CBmmY59vbYzvPoZ/jThp
XEpyeHX1e8nkcCASCNCtGiB2RY8fti3Tdh/RycVche+BKzOIQks7jfRwkKMZn6PC6IMhVRtW8ymk
rK4Qu9IuKFpwSfsQNM/9ATcDSUSNHlPANj4452ifpLn2OWmcEXu9TQM8jWgWvVWfpom/yqESG50T
2QGR43QdlkO/SVy9pQKV5SaahLjkswTxO89PUIHBwUbqtKvmklqruMIQloe3fhbOWsygBQE6LvsG
T6BPC2cR0FDMKZSg9MZ5iKsQAyaPIluIummcPHHl9t8lYKiVZUGYzVNmJgxsbD/RW21tA1UMh1o+
Yw7L4Nnhp8/jsXyDCjxQSDXZe2rYgB/PY+VndlsDygCcDPu52aC1MDaxFHHWKH+k+jJtbqB/rVM4
0c7E+zlhws7QES3j9MBmH3Un+2W2Y7ymQTPfDaFsNrVqI6Bw5ipETiKIueGe+1e/Sm0cLpK+PE+v
iR5iOc4wn8Q5mLDhY7AAKoyZ5RyJYJfbhFzwhmL5L0k3EAZDnMYok0t06JVJPfcyk99RSpvDqiBT
vp9BFG9iU233FSH4E6OodM0GdY3GFZCwpwPZHDT22yUojLzUfMIezlqJSJCWI+FILFPqZkKFOCBa
qoEWm8k6FdkfmRQGed542hlTPQaRmmpf6lQ6QSvgNMdRZ0LY06iZs9BnSYk6a9zU055YGPbfkVh1
z7NhDdeuJDfZ8FyPB+eEBmO/SsPMT1FY6/6InTGomQVhFe6e2jrPvIZB+Us2pj08rEbBlNdwB6ZO
u59nA65zXgz5DpznJ8PGfNPk6niS/L89OFoKWBxbp0xVFS8J4QD8Z3m4xs17jB9QUNZnXKpR1tDK
EpnA9ayCO91WOj6ktAiXtLhTWJ+sG4x0C/Zf3ZFnqCljfpYAFWmHxyWe226CP40IBhznurzZUNJh
UhjWqyaZmmmdu2wV2hp/q/1QnxuxjH+UgUmmpkibQrWcoRhpCeU010uz6Sbwtj2ayhWcMGqFbSso
vwn3gFYaO6tajHcNQ6M/dHlxd4Qs0F3N/G5x8vFzFf2Zt+le54Qp12TIfF/YTAsXV8pX2cjvBC7o
uejYy6DrW+O9lsp0rgkHeurSfbvx3ykuLzJA7PL1waamrrKk+U6fTn1VZzvkcae174TE3auhmIXu
Ue5CiD3kKcPW3MjUN3padX8icfKB5XFsvLrC3eQN5hhxQQBiX+kD7y2KnZ+JTRF6a8I7dyCk+Z1W
93ta8qZ7CrTfT9kQ/gKAoLzVsu+3VDz3+8Fy5AcBwOKm9bZgagWH6WzUzs9YCjLDCrP4j8LROizu
0oThqal7LRswT+KoIr7qqjzfbGSOlinkCWx79SZJv98Zzv24LRPfdp5DjpsMOM2JbwDaAwiXWWGq
s4yT9m0K/lxq0YEHVS/9ahx3vDVGOe5I8SF/Kaa6aaguu1SGSrc30a9rBsEbDm0Ml4AE6fCDBbBL
fSKQNExNLtsrWwehkJdK6ecLikbMpaM7TN2FPeShhw1YfrQz/4M3S76iKZ5TH+c8/zotIwqI+uZK
QJV4uwuKVrPRUweeyTtDbc33Rm+zgDuPb3YxSGc0j8/rSubcC+7i9zJkKLoa8sd7q/JO8SdnYkI8
IgifFh1Xtj+LpXik0/Mv2Y+pz0woXJl2XHi0X3+LiovFLXLefibBQzJmr/fVqKgeiMFoG9mFceGh
6l5LABxoaWEhPb1tqy/I9kb/DRCzqZUbf6Y/6KLlWR4BZL1jlLH8iqH1sDIMvLmbx7dS8lnxz/Hs
8uuC/55IA2W3z+eFUKnDTM74apYMg0CFa3DYgMfphAfOydyi9dEOYGC38ZfJ0QLiw1zqRv6lq5g6
Fr8xpvE7RNr13DKn75B4r1Z+MGZvxVOi1tF0avPSrtmumz9zIQdamuY+bkBL9pRUhLhTKb/Dndye
3alO/yxlX0xrkdIAeKFRV/FHB3rnIZ2TxQwWTpLxk57b+qUOVaPD8KXCKcSoUGHjorW3YzVZcs7L
PBfMZb1gKbqHqCjhcwuhZ/AVJ3oCrqrbrJuNalV+MSqsSPrcfuuaVjOR5Q6aOMIXS3se0jjTCBJ0
7btKGVvzUL7z+8Kph9W0W5S3IlpG+620zLRYg6LMRva6MjtQxs5uYy5AtpKT6K2U5Sp130eR6e2J
Mc0rTnEeKCP0mM8iwlV/NqUmnM1UOcPeSSrCryS2Ve0O95Ma8jkrAbDDFotmf8wpbBT8LK8LWIhl
pQE7Dux6SN9V0YlPKWR/VkapGNsiifSacSy1VgBIotzGs13F6BBNeYM/qXrMmjQ86HPEg3Rrc0Ud
Imw6vsb5NAJixNjTf2h6a2qhtl2jHBaVlN8I4rBdxwPnIkaQVKTE8EI2c144V8RtnhFi7grOMmPP
vJl9BiUpJtCKt7ELp2xjjsTPPLeLU2qPGX/kwwbpo2QgWvXNkZ6lFrGSGsgmIaKGU5vJnWbmfixT
2EkOroVxVRUxmcu2HCTQnKGBTRpRVQ0FVnN6omeW9SfEHYZ8P1Yc5HK0X0g0tpt/5YL6R6/S9eY7
xsRqXOBLRzCc9Lj+EUukXZTm0Sxi88ee3NnijGzYy8IkjPz/E5S4ST2khTFnB6antYXSUyeXmgiX
GQyj4sp9ybvmuAUewSsJ3MXEqxeEereKb0DzbR88aTKS2QH87BWRoeTwj3gwq6uudVVP2ouNvSei
7XtXNG6B45seGfCitH25dABPjDp+pspNvbJlXm3Tr+lz/4EQpWFMIWy9M5aZhi5FtS4oIt1Gqfry
qFGOvgZWFHmIA5slrvsXdskGX1qf/uF4QsCdbNcQuPYcsLWzYvYW+Z092mlBNwCliWycWPOOopvW
V8DzedT4Sa9qpvLGtwkWvJvflYpiBjucb3YlVS8B7btiC9J7ymD8Zh75SNj1bw0rMfUBwzYGr7pO
LeXXUC2C2bp26xEwvtuBh0XNo7N3zWKjjR3GhZSTCer1YUIE8eVohcfaMp4BXBYwAZydGeHwz0AM
r0RZoktUdEmDAIkp6eQsTdWXDbVGZUfV9N6MlNZmHLIjEF5sVdZLPbiE20t4O5rqeovJ6Zrfz3hZ
BIssTtKXJTIbvCoo6lUEk0jhMcZ8KrAn2QdqVDpvOD7L0oNCjTkfaraXDpQykGIKujYjWFAVPBHL
BBUIfifNJEmbvBEX4PvQ6y4/1k3ZvAgpilM8R69Fw+bQnuu7i0I7hlicR8X2QPjAKqhTTI5nuq0d
qkV0QZGd2oRa+phX16uso/57ySoRmJU2XREN5H6pGEWy/Uk2fQ9sOqJXkKKcgz2MN1EUJA7F1aR5
D8V4B/ulChoTUEKnKlfEMRggFfuLomhvYQi0xsnIOK/cfiIANcwj2Twq+XKmuZ0zrvtH1QAD06Pq
0CSpxNplUNFz3dKi3dPEWVxS3snQK/ta0s5el/QOP1MC2KzqetK9MZz1DeM+1UMJPlDmmW1KygbJ
CXPwX1k9W0eABRYDgoUdOUcg1Y8oTuA3jNJr4yJ5xm2/iUgm34rcOkSNBqxDn3eRlge0kpq7CpwF
TCF/7JtoiwyIohXWeb53UweFTxuqO7PS8VNPKkQ0akdQKJM3pY6zQ2lkv4DTxk9Trn9MmMi9voOY
Q0yasdmodhurjQLDleu6WfTd7AhrpdOEs6jhU6uNU6Di0wbCLpcNsenhj2uH31oWo0hRzESzL4PB
3KjvGQPk3Uiq6YwrEREOKsoxLzPlMXCsfYM+rFwxpgdbiLgdKWvYBfryzZMpQQjGXWE1lUa4uFXX
tD6QrHW7VdQkVgAd/T1koRqmuDqaSo7SEX1yjnoPKQf1Bg0bijDHVyE0sjs9wSpIIvCYVdu5mAkD
596cP52JQzNwFw4AqfnHIKEV8ewqL462MLh24mrNz2oFYYexRMIKfnQBfNoFFZ6MY5l56QMOHTGD
gGB/59mOCY9fftPmxKZimhxExrT37Xk5xdAGd/VsvxKdnVjwsRHiwWEUoRrOR5Xp9sY0mGLMYov6
oXg02vxKZRdvklbh+PCTlfqxLd3fzoBVxdIfzTk8pVdFVLYv6cBQCRrV1tWUQGuj9aD2qN7Kfi6s
q+7yq3e6k+/mytDPcxzeSKF9pelzZaWXDPRL0LgmTCzI2mp6No1e+nOqXPWoVrZFT/PgYBRfdguz
pY5OXVeF77Ws3rK+COakZaM4Mm5vVNvv2jD8TW3gOqE49qUVOvPI+al1HGQtx95rbXuO9aUKyiEn
NJX94iDsO3X8o/YptAqCZagmbjCSyl05mbJOwnE/54Zgs2W4Gzzh7NCt6pICUVvjTpn3WhFVyJlR
GHSp8z6ZNRzAR0UlgBlI8alZrFRzOk6tynuU7tqir8HrbJ2gWK+Lk+BQUgzTeNGt5GKJ/NWJnB3A
a8rLaooPEaQ4hkjOWvLLTcHtuUXsBpWSnimpR6C229eqj/ew4XwSHp8Gm7+sUaBjd+XvTmgb8qz9
isoxKtbJdlxIT3m5nt4ju9mQQsVF2N9cFQK0Vl7sZNwujuujlmyNpD+nVW0dOvWRn8diws5HlgMH
utyPymRvFhj1KkrVJGZZn4IzHbNB9Ro7/QZoUXhr80f2fVbWS2fu+4HAt9TPWdUcOOJooOLL1E8V
4IlqyVWfx+j/joovJp2+tClj14CcHYA4E78MYqZojXFCAFXHVgLJ0EvJHHK81q3HvE5ft8o0IufZ
I70QkbGTo4Y2rvXYHTW6xXxgcaL0G908WkOvnTuTdUvnCgjBvYXDOBOh/At7JJ0G+dH+BwaS4C1M
SNIbXBKxiRdGnV0TEle50+LwQppOuYx5xokHg4ib8cbykblWzRKzSPEEsvPusN33Yry6W4cTCDwG
lnKOc1SN38ylgSZmwpVgBWNVyRVPiyEv22WIhhoPO+aX8mK2BhQCjtLXYSB73JUjk72s9uxBNEfa
8JxjnjadF2fjLTHDzcIonLMEqCM1G8wNEo6zH8ATbMZuOvRGe4bnfmdpO6ilsFd6y14pyVWC9pUG
LbrquQhGs7j1xmhcG1kIj69fek4WHtNICxoKyDmcMJpEGaIZaBM37bia6i/EaWYNaa95auV45uLQ
oSvaXW+PR6VvUYGiE9CxXdXnd1Yi/GqTbxTVa52POHyHEdUGhEG0gnLvfNOwCuST6lp9CLDKiD+j
aSSn1C3TI9NJ9xQxDt3HSUMnnmRP6IdSmN+WwT4uaYqfzGW5xHlS+EWZsHO3O+cGrxE5as5CH1+u
+7/ZO5Ptuo1s2/7KHdmHBhCBItC4HZySdSWJFDsYJCWirgI1vv5OUHamKNvy8Gu9RnZt8eAUQETs
vdeaa8umo4Dip+55oariu2Xjv9aEfwn3l166XTs+dfR1fvQivP3JdzOCFB8sieHAdx3XVwLL2u9m
BGl+oJGD74rtyGO8sbJofgPOGML5gI0Ty4FC9ydwJOAy+t1Nh72ByExHmJZtuablEJj5D+wIUG9w
G/wH+IuJB4YCBQjvwbJop/xsp5MRPVMUzCAPCF1s6vqjPZFptikHtEUH7bDHKaznaFaBqpCpUV7V
0LTOsN8z24fX8TgJBdAy1qgnGxQTWw/5hUANkFwNvQE+AsAjZMjOQIwKUgZacz0gVHaFpOq2T0sk
JSDV1A7LNneo85FrOYeqREM4631PgDoKDP8sFf1DzzmTJc5lKhcTqDCJaSeG4qPs6fXISdufCwMZ
Ml1sGuFR1xXmjpD7oUejrrr4Y1qI8KtOrKnlON/l1d0Ulzk9fQvpDEqFXBGymsc7J6d9hKUwmjfF
aDaXER32DaqF7togUisL8JYV4qDCEeoeCpIm+iwqWfYfLQPpOSkxek52KHit4avdNAQ1GC1EORSm
UVxCpUNLFAwTujxKbovSl/yU0bqoYqs5ZxBl8FlzNxvue1vO/s4lCvKQgHjNOcGikN8JPQmKoLqP
bmLbgQDWZpDtwEWSA1zLMdwKOatiVxth9HGxGFNeyqnsDyL0mJxUJpAtuxqnz3jQ2ER9t7gYc+vA
tW/6VUvhVUjGohlpzmga7VGMVXTOrYMkOuRXrGH4GJX2OcP3aBOBMByZpm/GEcc+KpkItaydzPY+
9upsOzaefYZvcldnOaeS9Iwd+mPjNUBDQ33nG13N8WRZbmD9gIsxkvvF8eMLEYNa1InvcyQtXFFu
6cabNe0b0ED3SgNy+xSbhVA66Iq4irYecCSq0dKWFMH/3Gj1SwvVOwPwX1qy1tXz356s/z+MwZbN
AvTXTqvz5Pmbfp8k/PYX3xczg6XHhSHre6ZN+Y3VEG/ud2vVagBmmSN5kH9P7wr0/L+XM/UBiyv2
X49FzgKRJfir31Yz+4MkBYxljFGZ48DQ8v/JYsai9X4x81yaK7weQlcbWyu94/fWKjXnDEm6BYCN
JBDUM0gO2/Bs45kN31ziHbKNKhBv7nEDpDeZ9aupnORkPI32m9cc5oXeF28O9PDNjd6R8Y0y/M2l
zmwYh463ZOY5sT/42N3V0h6LwqUD993p3kfULIbEAD+EFVLcFlVhGORGVvlIfwYcy+FqnceliYue
Z7k4q2JNpdevNntzpDINZOPRlOvfnPjemyu/gGN4Nq5W/Xw17RddE1sMpbHyqzAvvrll5Z2oN6d/
gee/WM3/0xsHwF+RAO4bHWBGtHOnV2TAmNTIVQhdHr90Gc7UIUPRDLmhhzRQrdCBKOFwhmB+ZRGE
b1yC8I1RUBOr9Rq2cvg0eQYMA3Qp9r5/IxvQqkmYjr8RD/Qb/aAzASF4bQUTIX7jIxiF1Le0euVT
2fr1CbJbSArOClWg/YZAv8hy47zESEWY6QpgmPI+KQ/gVjlLzonFgy/feA19KgcK8JXi0K1AhxQ0
/Fn2RnkwrFgt2w6Fx/Uy1nlJX2RlQlBJQHF9I0XULZOe1BlvyfZUZxEN6y8NHMGG7JqVMdGqJBFI
IjqF+PuNQ0FmirgA5G1dNn6Co9SZodoG9oqvcOlIONsR0PuZzGCVMRmgQnPyzqtOBz7cHRxI4nya
TqJVQZJM1cOoEN2SsFdsxsDh9Ap9DPW8Wrka7uQ/lbOkEIuylARFz6U7FKQriWN8g3KEK59jWkkd
A/65GyId0SsVlQPKI3nDeogRaIyrUN7Kmr0usIskl7ehk5TfynauviLwYLgxuKZ7qMMhLhCPzumV
4UI+3ulZaFSfKRvrMc9yeSRGgqkJuBv3QtLAKk/m2tBkGOWIc+hLOPO9D2u5RpeQzOXGtIryflaR
qDaiQSqwp8qIPq22Qr2PcBR/LBA8VPvamYh7hqk1f7FwmtPaj7LaANWq60sJyWhtuVb83mZpVVdO
QUY9uchN0SJkXdQjSUW0z7jPs3EHdtcdLmaLdEkaXwDJgz6z5jYgna5RW+ScebzHqFSeltTGw16t
w6md1/hLjorKTYEs+RY52wkIdZ8abwmpV6GF5dsmw2sSmIUXflwln6+WmXJYAZkAGN6MeuNhZc9x
nJk4MNAz6jxo7z02rv1sjP5DJbLChmlf9qAJrNHiPmza20rP1gWdA+9LSGbgBOUG7yPIKm30a293
etVRwwCqgM/bBY4o6I41ZtIzqch7OiSR09IZLhGBVFDU3W23WPS7qPKMJ7CVTHAb0Y28HBAGevC5
e4G/BhYMPTUHawos5nIzx9iM6I71xwUOf0EDx63qvTEu1Uf6z9LZzbCT21OprfTVpYtwlSqFGr1o
aPlufB/Yz60vovhJhYLVJ3AWmBxBjGoGRqZlERxUD1mCUqrLANF1lar76y4W9mUzs07fKDdL9MZn
LkboEeuK2g12G+47KhsUmZgZaEyjx6HBqRh/YIvVp24LXxb1QDlezX1jXhJdpvVOkY2GXsxXyTMt
5O4LgB3a7yESxIBfrRq3qMccHjbAJS9qmMGRjtPsN7eJEBSHaWwun/N8MB9oR9L0HsLer+4ai3Et
WYBlVqdX49jJ+aowmFXtcwyDnG2Eh4qwS4H47NucDLTN1OX+FVxxL3U2sooQLeNUK5MbaVRkQ/tz
mzC8IuI43+QQxufzxQmRhk6oeS44PLsKRO8kHlsmL4yIuhQ8DqpvGOlzXDaYPZx62EuDEETguQ1E
w40curVKXLRVbASWEgPZNS3wwGonzzzxorFfFcI5PlqPFL2T2s+qL5qQypswR2x7ViYTeoG4Tegd
q5C88ZlJeXFMWbcuZkDDyzX49FEfMDhm6CvpNqNHpynJM5DRxyJlYbp1J/riQYm/fVqX8zFUZxbu
6+nK65gdnZjelJAPT8mNbnJZ9IgSqrRNJMNZe23wQ+Ybd2BJ4xyZhgzQ2h6hJfr77xCE/1ah/3I4
yfz1sW3zVH/7n8/f9Nd35NP1b347uAnxAbqHB/HUkxASfRu3/G8HN2pNMsXAolJJukKY/NHv3FPv
g8XI20PSZ1v4V32M6r+d23DSo4Elr4vjlgAI41j/5Nxmr473H2pQ/l55IGV4AwCmsd9zRv3RER9x
3B8dANTBROl1ktmEa8Is9t0vTo0adcgW+YgAKaJ9pyXJquuMJfEzKfc8d8VTZRHHB3K6wT5fudsp
XSdyRW7mV27d2U+2qsRZr8yCuz8ZEd2Fi8B4iHdDPQB/NK7SPmO+lc1VcY/3rj83sOVOFSPMZhCW
PGrLN+77Zt2V0mo+xL3tPCMHN57sYpaIM61xZ+Os3DguLi0Wl/nEM9W6EInk0w8/6p+RWtbv4d33
BFqaMFUaCiQuwUNd8Rw/wEcgPeVNVspXh/7AJ0n7cNPmzTQenJ6gdjvK0feVVoFx0Skb8FNu/8Jp
hSFnbnsY7zDkTXdGklpmkOLG+Wy6WUE6yTBprAfxBWlDNbnUhjnAfNIa3anV9wSZMVs5/3/4HEBK
bMc315aD+zNEZWgjZorVK1P++LYIw28xVNNDXtN1xhhEtzmqvkKntGkKRvIQDbF7S1TuTI4O59bZ
q9NN2EXWc5iHw2nodKh+CvN8SEdxoqJYn2XlYF/LMk6ZzlTJ6a/f/HviDARspShuFMNpHhuEexQz
P/4GGomSZAz2WgK6OS9NZZ8z32bm1w3ifMVib399Oes9nWe9nm+5FrAIHoyVckOb6MfrLSPYQZhM
39BXPxiZ8ynOF2vn1Gl3RHGbn4XjSPJPBeUBFRj3/vRb1PZ38tSf3HTyDw8nb4DCCt0trERbqJ9+
rCJtJ81E7luy5KaFat5BigTDovlahaV4XfKwMTdhO5zg6HKSXcPR9LkgWRU1QOLMT6PVoP4vcCaf
55O4ckrPNIJ+yZvHgdH5bmGgRzPH7DC9L4WBc00Jt9xB4zQ+V4mx46yaOftIdjBxIy1vF1oo/bEA
UnpflmV0a4QK5X+fq/rs19/7WpS+f9b8laZDVer6FsFU5k8f28bpH8Vx9yIHTf5fJdz5lOPE+KCn
BlXjYibVvpKJCWxmgidoky67rgVhe5lj4yPrBaglwo6WrywbqxkoBZ6XANxdf+8aZncZr9G3+8lR
N+idnc8TITiX/CeYxjESCpahCmdcrC8sVDuc+dWNR7V78uvP+Idbmf4jd7DHQwg3115JXz/eWjwc
VTRo57mmXxNAtVl2a24z0wSrZA7MgfjXl5N/dj0uSdOT/YTb+SfwSZOaHi2q5rnHFvPghBGHzgxA
AAzIIsWr74snmfnecWBAC7K3njdZ2N6KAbQpZjXWI3B9w3lVa4OhC2PfI4ObLOIkaxsHtLcevSnV
yA1BX12/6TOGxMss2puExJyPgjYrwLwuGj9aE9HintudWaHpnZmVJzWqe2ZD2pCDDBz8qpge+1ee
fuuKGgMufgr172++jD/eXmQV2iD9QKZhD1Y/dSoKO7GnqVheRlSm2yzSJiFHjCYmxOFnBAsFLbvL
31ySPf6nO5pLri1jljCXXsxPiKg4SbzOqacXgoTUiZ91q5DUi7ZOxnDg17+09Yc1g2eGRZKfmdY3
D89Pn46tGj2Cbl9mf3hwdYW8t+7a/ItVhpt08UlycEEwHzPwOEiVlZc/JjrNLmab+eDfvBWCGn/+
1G83nEnHnDeEw/v9TZ75WOFi4T8T9GZ+QSpRdDAdbX0toCkzxBmwNRNbxUg4DUean4YdEYBVtuOD
SF0EMdQAV5Psq3xrmf3CXTqV3xwVAmTN8V9iv6GGOCLc0G3gaV2eiTCRNYaeOEW9iDWNSxae/ptf
cj2u/fRTEkn6BiWCYe9x777/UGZCMnZuuE95BscSQ8zkfjVbhHKaR/0KL3BXQUUuOeWQIGHtap6e
b5NWftAm0NzpnJJ80mgrw/eRECa2YHbeWUge1dYprfJpZIL0uqbdoOUylomTxCLu7DZvL7NoRlqK
TPVzU4XiirWY7nlqHTPaazdoGysj8NA+rsguxRdgdjB0Ah1W5VGQuPAlrw1h06A27nJ40afGIhzk
ylV/buXeqv3HKEggngNKA6YICAHLlchKfdzQ5d98g+KPd6hkFkIjky/A9rg33n+DlFTt2EbiSYvY
/GIDEsTFHNvQvMy4IOKwLWftbS1/KrAguBMKUyb+ROTleBR1lG5xJJsoLxF8Egt+74nOuSUBtiUL
CjHWpq4luJ4pcvszf4qYcxpdW928PWP/rXX+ta6Ff13rHJ6e37Mu13/+vcyhKnE4T1pwm0HTga9k
A/pe5agPbHLCplhxeVwgpHM7/FblCMZpgOZMutBwK6XkUft91CY/kMLAYMxjRscQTgK8/AejtvfP
rCe51Vh9pU+ugyccXu39HWfnymtaDH+xbpiCVxUT8wRx3dQKefnDF/InR7b3V1ImUdgm3wILPfs6
hdVPR5eu9uaQ2oQOb51svKYMWeaWtW4K9e7XV3q/uP52JVYgWHp8UXT5338mlcTAUhzmQXHD+CnF
fYqh9++W8D/5ONSu/GYUiVQ9P08oI0fpRqO7dxKvOUZ+FV21s4bOIDCg/M2ygJiYd/yfEotPBDvO
tQRsfeavVMw/bReE/8U9Din4PxQAHKy7JrzwmyLJds3EKXMbOimsqGhpXZI2B8kDbivyuukVyyHo
cSOUm2WYOoEcIoJfjAS+yTeMFCayz7KuWu78HrHRLpwl6uq0KoW4jBjkXWWjFPqAjzN6aawQLofj
9HhejQrxN5CGuSDqjDbOpdGM/E/gCu5rAiDbQUlFXCO8isF5TZYEHR8vwdI5Fw0XthIDDbwxYV8n
HRmZsDGu2v6szn11GjJgrDe9kHoEjla6n/oOsNROkvaNSdQqkFRo3XkvnLU8ckDEKgOcMh+fSIb0
8cvUmsND3NoesXxpqHEw5UMKixo7QBd0niQKLHaacR96ZvutzMaCbFK4Bc9DGE7301gUr0WeOBcN
oUkJHPK4v0WqRQhpFgmoeAYwLLyWZHM8KOLUqCbgeTy3feN9Cu0i+xR2DvGQaD/WdnpvReTe+UXa
P6g0zdHuWXHRPRQKs86C2GEg1zurH9kHyluhI0Ro9EvT89VDnG1G20MO0rV+96Ax+zyXbZI889T0
T+ApcCykxK/ITViJGsWOFO0T9jOayIvFL2MaEXkYeUTHcquQ6468cDN+Wc/bzqFQdNeYPSAti2Qp
LwV14w2F9YAjXsCpDUQzZPfr/LwJUPpcLXj1gcz2XXZX0tBsNiWt5M/WMDE1tshbeGY22t0TEDN+
bjIKn1Usm7zgq2/vWnor+R4jw3ihMzqewYTH0gyyJZrOlT+50dYa8oKs1Xoyv5njmL4MUQXhVYAu
gU1AnN2NQHLOANoGoB5oR9EKxC5qnWJkKSWSzMRA9Zwzas+SsrY2k0+m3XYssNF2JuEym5x0tpB8
kFl4gYXUeQAZvxTLDdkf0XVZWMNjNnrxc6SnyLtFjB099G6CLr7pYnStxAsqKATQ+Yg+6U2oPU0n
qmU3EP8WBUOnQ8LFUqt+gT9Kz2VMvP7BqosKEr83yhcUPNDgG5faOACX0YBR81YUmpka2SWEksEG
3ASrLMinpbgtpYrPgU6QkLFCH0G3KpD2Qaqy+RHttw2AuiHGN5ikw/washNPWc4V850V6vorc3vT
wU7tMB3B0zwSbNv21SedDsunjGXf32rTjb/2NqqoNevS+4KdATsSxkpkULkXpuubITESWou+YZzu
iDO4ebiXO4ZI9S4n+ZQ7rXYRBNYLdgfwxARrtq2RvKjWLa6pIRErzxU5Wni5I/IiEiorhMm+xN4D
LwSLA0e64WEpxqoLRp6/l4kb6Fam4qHyQ36trOvHy9aa5m8KWIci3iLMxk0Yl5xz/Qw5Br10BG+q
NlezSJX2xrahwv2sWTIf6XxzbHd6OTbETHi6OPHdsHxKCsT9QetKEuLMaNbpPqpa1IHAA5F+xfGK
rKSo0yRzQJ+7qACi8TFtg/5+ZBSfpLHKcRm2TMW6piGsi6JYvi7gsx4mf0L25FduS0xBEkIaLLHm
tjuyaPMbwcQj3wm0DbeoLKpsP4BZJh/bHZgC5SLb2phQvX3r2ogVIoXMbi8x0NYbGoCZOgxwHScQ
FQKIjJsM7hmdt5FKhUppA+OO90SbAG1HXXeCxSyvsmuH9DT7KAgZ3/lJbaqtnRPTHJiOLk6RtKPl
SyqE2lsSd/tggqeANUCyPntE/g6yOZl7peVusDwKkBaash8QOuxca6DTcJUWIKg2d2sSgBLEUZrH
CoBBmvUSLTy9fjgzJJBwlo6S+ZSgmehbYs2OvYucdLgmGDQdtlFKXtFGmd1017t2TryJsomaKwBg
2UcohTC2JPL+BJ0m5hjSqIf2BWIOo4bYRGi6JUeIxbc1Ouvol9Fb4BqZJdva0/Y9zkaSNqAAQzRM
DPNbT7IDIknLRrk9QJeUao5dgCYCyJm9dBIjnWjo6Zbo+RsLl+6gY5IhZWifzb2TfzSz3H82Gkc/
WmoCMmAbbdRuR91FF06h2stOmrU8IJPDc1Mp9G/4Lihlt4XOk0+GV5vP0KimW9saUeqzuxvZoWq7
5Loow6TawELTL3U2WvdRPBAB0WGDoXs4NJhJSNTDs9q7XvNssrbtciiM2PREWD2XOCNuKm0ihyUk
5Zptwbtsaw1i0pjEXhie9zLy+usIJh4Ql7tdr49gutXVPLrrfR5pNpkmdUrCdbyy/YjJPaaH6Uzz
Xgvpfc3sEAWnVedYc5hdLmy7HutXYFtEwxoJbhm8lG9pfKPJ7qNFpyaAKDHiwjW6r+Hb6DbEnMFm
GXCOHD2RkKrC3IwMbb91riarTKpdTP/pSEnHE8mUs7mLBs97SnBNe5twGcaL2saWTclL+bKTXVqc
sPe2B/wIBDOhmV7uuTetp8pfUwkXPMQEPb6lFcq35EKzJK+H8W/afVnesg1nMDlGkOgBH0GJof3K
s5mAw4uCO4fVfU1IrBu/+eJw82UMZ4lQnNcwxdgkVrFno+A+4ukjnmwNXhTd+nyktiSP0SIMGqf/
GtMIsT55dNfoRgO1qbGqIJx9Iouw3RpajjZqLYWOwfQHdgdiLVw4g60NBIAcBDuAntp5QaGnvsYB
0YsCqMvM5xo5TeKnWSJ9Pms5EC2DhKNiJaKfwnfadezKu6FbfEiO0WgON7i/SDGzGjsfEBA3TSZP
msixb4SHFjswRUuSomSNYnLtRDlYv9BpngcGyyDL4ckopS126SUfsC8PuDg3o4kN+YyIIiKtAbJi
NBm9ypKoyZLhOo2EqA69AhR8xjwTNNA0egbAQQAdyH89T38kNYPBcsqfKOBZdXfdjVj1dops1CMG
/CnbTYXbtsHsYBIGMLra3m0rm55LUsHc7UxBe5oaTQNjMs6KBDtIH8srSd6XZCMxxI1oRRftIYjM
cH0nyFDXHTDLIWhRaFE2L0Kda2zTA8gYN8WzFtH2ukQPlsNkmFoOdv1kufll0bjTk06rRgQO+yJ0
EmAl8TZNFWZKYa9RzzFSgcDuZCeC2C7QQwgSWAB8Q0FsuLEGF+vF0g2n9lS1X/tlwBpEKCz5FBlE
qGJDqAYbTtTqdtzgdhrIlGpdt2VsyxpsVrN5MuZ4AzDjeTB3GCjXzQ2Mk7a96AaZ+nCBQukT62sO
xHEVsSLOxGC6vc3xF6/pvq589karXVmJGnRVmPsChbh22lReJV0u9r1viAUW8ZDxYMQuO9CSdOUp
xucJqh2IIKTWSRgmFkuOGOxj6Ea0O7dt5BNeQVIq43kCyXr3yYo5/gdhSBHCvowPyH1ua09OeRB7
iu1giDLfvmiUjbHLCvP6wQpXvTIyidQE4ldN9VOSpD4xzXbbeNe1gHPOySJiD+Zc52bf/tuS6OaT
r//7L0S2v2hJbNPkueq75EcN8PoX37sSxGbYFhQe07aBjqPRooj+3pWwrQ+eZ5E1iZbue9bGv7sS
ZGZ4Fi1azp+uMFn0qFN/n72aHyjtGQT5ymGFp8/6T7oS7yt4OgVkdtAj8BxeibHiWzjEDyNFvzIi
8ts8AVZtjI5wQLtt6hX+4Yfv4086En96FSV54nk8bKrs930CghgWfwQBiKnEns8jfHGEZ6DZ+PVV
mF68q949wkXe+qLreAEVolpTSH6caOSspFKMBLNnfWcLgr/Q3WwB2qpr1bN6YjT2bAQ+SrOA2oI9
toYasPXtobuuSUtEyTP05cdyHjE2kbJrVRdYCoU8JcCOskBSvWAsw3s77iD0JvC9utDn0S/7CUG/
I/oTO7XC5LgsU3+wvMUGSRF11twjfMUhyFsZ2hpMG2f+2wTodoMJtpYhyuCUEnT1d97QK3XKo9kP
Ho6lpHStHQWNfCFDpFVHe+qsgxdKvVpGSnLzjD5Lr0I80hI26jidjZ50bh1i2pMrs5rMzzN01yxQ
bpp9GgY41rtoKqtLwv26fN9FDdRTMAAElDddCPBr7E28cBBBaBRof+3NZ7gM1DYlOtjDJajMeqd1
bNlNkEy0u45TGIefy7Eb4KkQDA1oMlNVzbHcD9NDX3D8hvGelMOZ4SRwvTpBK2FTlnN0osW4dOej
U9gM6FcF29YFG1J+LrVdn+l0sZsjkOH5OkxMhtqWHumuEEMNzdYTMyBTjSrsiVAVn4BGf/pUKl2/
DoUkIgtGQP4YgdR5TMzeeRmwnr/adAbLLwg+F+gG+URWvFWy3R79mDIucFIAPUdrscZx16lVO1kL
Q+PLdTtqAMCYA9gChEnNGcWJVkHBBIk13XJ78dhpwy63lZgENadAqbWzLeacBxLooG0wfMejRoSd
D2rUZDh7ot1wSPYM5UyPbIq0I5wGaeH4oIhqt8CJZGV9bJCnoaJh1vXf5fn78owQ5YeVYo1T+i0m
6Xs48F3/9eldPNLbv/++OkvUycrCZmGvOgRyFHml76uzsD6ode5OyxaJmus5NGx/7xkLMiGQO5t0
cnHvM+n69+rsf7A5snKsZC3lqEWd809WZ8dk2/ihH+lJtguJ0NNnOmv7rvy5+YkriEFd5z4w3end
j3EzwMdEI5ampj5XYJq9b5GJXQ8vdblQoTzaVDhiBh2E+fM4y8QyN3qpwr0LgyOrsYMC24g3QGrj
BUqvvYAwJECeoxZmAYJ0gAomSM6IksedkW8KREPtMSvg5W0QZwLaMkJK0/Sir+zI3WKzx81I+LvL
S/dGUo7IoCsWi2zfQFeJUZPRmXqOwjidsz2hi6S27wH9OgBUvIxz9rZpc4zTuStjMNMRHshNOS20
1BK/xpp3UJVbIWxMBR3Mfe/MeaQ39LRG8D1Glnqnmcv2le86zL0auiaVDfXy+lueGk3tOF/TkkXr
ogIO0e8BfiSA8cOY0+HeE20BDnlR2qThNKX1hvMjPj5YYhxpFxtyPGAxDfS05g4hA1PVHa3KaKGl
64wEmAdFm2b1qwT5W23l4mBJoDuItfA57UHeXbpRVMH7QV9Ae2sBjoT4csqHflXo0LIDB69qTBf2
pNQJgBGVvc6VXYqVEBT5/ZnZEr0A/BujQzCLHFKKklZ1HwJPI6lgBZ/EYbmsMyaTLrHOc7wxzaDc
YPLt/o6fy+k/tcSPyrPGsLM1Mrjs5cVUqD5h/1sAJAkgUme4yFt3wz5gdPRdkUozaYffASCzhbxw
yMsStGMH0AA0vGY151As6m3exxnLHXPG8rQw6fHsYot/GNHowZoYVsBePYjDzCAzGfWnYObNe4Ws
iEM9ansYZg7cGLlP4NneVHGItEOPcEkwUbrZNGzMDsdvUNLGJBWvW/jAVjPzKb2hXPx7Ky/IZScO
w6t3KqOtEuQLhqoJlD9somqztv9Yo3OaPqhHKc+gNNWiV4jBssSh5amwOW8zWi1fCfuJR4JSSuYp
JzAxJvkUjRn1jlkj5PSQEhtI7Df+AlLhpKxgsqQHMEUhqIpOY6RcJfvVZopqKbYga+RV6YNX3Wla
zqhz04g3tSSIqjaV7QDHEwnJ2aQ2+/V8yGDIC5JP0/i6x+331e7XhsGSKkzMcDQRB8+yNilgIZN1
KDKG6JondvrMXcvXOJptGQXJnNLLpxfXXYGH5aWRXPM/0yHUGHyGufX3fi/rLz6NunZX0dg4jMYA
LimC1vNYFq55x45oPy7m6H2uG81GO0ySwCodVdaRqXw0nvdgL7ygrUVCPDPzphXp6U4QcW16ScCV
cptOoBaErPoFBv1ts5rzT73OVEmgRrc6sZ28ou1iTsOtKnz9kDs11SJS19HaMKfiXZdhxq3ixe7w
BagHdZ5nzvl4rE17rs5BAC57j9AL9TjFZke7o7VlOAG8FBA4RB3FMz33EWIxvV3VlqcdNgTcz2M6
S3hEwunuKpx2+UUJSodjIXpnKMBRXTokSgk3tZGcZeBxwRo5mFeW+y7zjfgWqEU3ARloxhW+PIuZ
Ax2jLbuxLyLJY2oFrdBhQ0iKgB4yLLUTHQSkEabdHu1Hc9jaI40DAqEUR5txQCm0Swqrcc8gdtnd
CQiFpr2Y+1gZZzy3sXc62lWJoWH0G+R4hleZ7sYQJskzm04NJdas3B2q6EVIMx4eJz/UNPVGJNCb
1ico/R7YbCrmeJuj+x/gAxjTzCw7tgEqPTMnVUt2UhKRi1EF4Kg206NPpEb0aTHpFSURsK6AUb39
ic6GRywOyCx5EO6g9aHOcaS4xQOzChYyfzBKySwqtihszTs3Yp9Q9hlR6eFCSkjW3ac4yo3zoRd1
f1smpIWcxHGLVhkViIjviniAbq6XvCy2E7G4DD4qBmL8+l3v7/NIingnOt+Ut1EBImCj/LC7gQ7l
JBvdhziB0ZWk0wEHBq3UJh0LQN8NGBm0xuJJmXmMdSfsJxj9TMUuW4orev7uQmJR5K+3pEmKHl1/
ryVItB3dMr9gQpUadJlcl6CORmbFBlNddjlIa2EzbZ0OFT5+I3GFfiWcD42RQxVtMfBfr+4eMHx+
Nc4nnMBNTAtu13yj1VA/uOWywCbyU+8CgH99AZevWW8NE9R+BFKOCYbpp8clo9sbxGO7mCcJgvcs
qNh3xTa0WFSwL1VuBP0md/NoA6Z4jvdQV4YnkMv118iHH3mBIaNx94D1auJSCExrNwLVkhUM7ohI
LY/oZKBCsc3Tca5SQqErNoAqyEiwJfdDGvCcm6byFRyUgvZhNCqHFFEvss4S2dBVQaw7PirHgpAw
ISjP4QPWmkFs5mEBiGEYm0ARkZBAPAmzUxt3zoRMfWnomXO7HjPQMOM+SmvncarjyID7lnk1OcCe
1dUbaEN6OZpt3i23btOSkeoznj8MfeKSF5uEU79tGF0hatGje6fMpk52oE/ir26YN0S+9t18ykSq
VNtag9Hcy7oeoCiVJLBEMrzNG+Z2G78Y80vfH9RMasdcPhV9W38c6Qep3TS44HMCZLqlvGiciHss
iUpr/gSOx4i3dcug4Ri2Qlwh45pa+lyplV7lcbZUJ2kHd3DD4SO+YSWRX2TVZ8nRtp3kG5kaLMIo
2qR4GDqgfRQnK+PKcJn2ojHzYwHJ1h7MA0D0pjmWb+gsZEosi57dkFvZfQdtTU4NdSspkdmTJUSJ
ntIj9JeLUCfiOW6m6K6RNsZNSCjmSzjFIaAayLjsNlVT9LuZ7/pWDBIHTThqhrQQkfVHEl/Mr9ru
e2a7ceTxu5pyecknbve9B6+FmPA2Fx39pdLDloWZj3IntkAvAKA5MwE78wu34B8Dg1MM+cPoLk6c
gi8icEs7oZ3K/IyQYfri/G61+QmSPThKr4JiFlDvcE40lhoS6thEc7Qrh3al/kL4LcjzWppnxDVe
FxCy2D35YJpOXWKG742hrG6t2IV244GUTVnlquEiqRDPYh7pOGbZfoRqNOk6cl9KdtgTGmDF6wDa
4Lz1uvC1nfB89Bz96sM8EIzEcBTakSZTpwEbEGlx0hmD+Q2jkGsFk9OEn81kbF8BtVXhPQlnkhgj
E5LZzh+yGEhLLorhY+W6mUcycgwj/gA82DK3Rk6tIL+7Uf9SgfteNrmWAIyIadMgwEWh7/8s9vKH
xkkMPlQQN4KWtE97O0cha7ZEjkAA4cYctPVPr2nTEUK8JwVdobVz9b6RglzUGVSbeAEe3eLMlrU6
LJkx7eZwWnZZPrR/IyRZhSL/kV3wGbkekXiWRNVGnfPz9RxjStkULDeo5ujG/T/2zmM5biRd27dy
ovfoSJiEWfyb8iyRIilSdoOQRAree1z9eVCaPsMCa6p+aj0Rs5hpjTorE2nf7zWct0vGGCME2IJr
D9Xaqu7VFn/D1FlTKm9vXzwH/z/gKVpHgo/KiVnMPfrAwX4Bgo3R5BGnRtyeM1OseffXy15Ln843
ckxjmbqI3yxKt4lqBK8YMtERNhUS8Of3bOYLpTXMZT6YlM0qXWhrDze+73/Sljnxtg1t4ucctwVT
o6IUlJmLhkvXqqa+isujgzluGSJKP9+W+mp+0jGDhmzevLo0xAx0U9SiwwQvN3nTsPuY+Fxxb03E
uCsLhBoYfHbrnFv3qujDYm8luv1Dgae69vWCC2fusS90tvEZJ8P6O5LNYT8qOdDW+R85Bwanwecj
w+0h0NhiRR0PSOt5OjwTBj9Ex7Fu2iDeGVN+1aGV/3Ly/ppgkf/MycMB5XudIRyP/2eLJveZ2Upk
J9EAB+ycv/ovfh4acVVllVlMFRhd00z5jbXIv01u4VN6tNCNiSL+b36e/vfh/80fwWSDAib4owq0
3f9/fyn8+0x7YlCzZNGWQ9t6C9gyUf2ONiGhQ/Nni9WtyXkD0ffxJAl4O6PPG5YKFpz2GtPr1tzi
g8zMxgUw/aI0SviN+14GiDigD4XeX6T9NknVuryhHE9+IUEnqCw12Y3klFkkR6/d1oy+pJVVBUvZ
CSo3FIean0EmlO+ykCJ+Zwi/yhcj6X/VCj6sghJXMexHkQ4u1xfRGfUmDPzy1jUih5KZZjcLi6d/
s+asyf2Na2Dta/ACTa8b7JtwaciNsrl68TVP7I/HZPUDdZHPBg5G+KmOvn+Wx+sZI5cRKM8W+qg9
ygfIN2qTXPWIl/HhUdQtDtuoLt0k8z6fb3m+bkGRYWfq1B0wHuALzzYyX8ULg37hG4k3W4Oe6/3Q
q/mFVGN7/uGpzTDpJDOTZFhbyFn/ML0dyga2d9WEVJ+pxFPCDcZI3guFuFP9Cn9QQGzY80V0zz2h
vSeqxUdfjbM7KE3VEaEYYOiT85JcDGXeZYtqqiRDZcCkMToUmBUeN1hVYpqfb5JDEVo9FKS5/FOc
NiS8NvVQsq5LGIOLUSFfbmn0ssXVu+5qCVyvNyurHYyHCFHc05DHRbYS3FD07gNk6vgDWWf917Kw
/PeR72u/yqyfzFY8MYw48mviuy4siPe+NrSAPOrA+ymDq7cYhiL/QXUhfs7TFqtxPD/0Yp9MJMKV
MvRkX5TxKMKbHnByXBkZnKJlVbapty4MUXwlDMwo1hQnymfbBBEi2nq0tTXBe6B4GUZ8xFN6sVsv
s6ExBS7ucTXcu8z2O8cjbwdDLirKayPX1C9aBTVwiQ0K183Aa7PnpNHGftd2Rf+AT6swtknuQIsj
18ZXVjJUA2flidyN3mFRMlXQD9V061BZz43MQ1EkkBROhXfjUIPXDvX48xN0KsS92DQoZUETnapa
lNAmh4u5lk0ZswBf6acMzGov8ai/h/0pc6TRao9/KlhiwdusocNfqav31G3090kaC0xSYFnGqu/t
Dj/ov2fQX8hQX3ybVyg/WH/w49i75PA3fp89yFwhD7OVUeaEtAKp+5+zB+cSC4BfE4KXrIG/IV/4
HyMm1fyby6hQBc4mE8HZfHH4aDZ/xo2Huxx0YZPH3VsOn+MtiEID+6tkn+OIoyhkW7OzJ9f40QME
iwWoi3pf9fW3CunX2oxs7fcl5T8/Jw7b9b8v27TFXupIZFg6tViN1+vxOVch/RjKibg6KYGoIXbF
pkOqsQjJXMaQMcUnnwc8kFhhNOZ70eKLlJO59GAl0PxAbtP3mcCZomj85MpOJJ6MBvTDUEOxFPva
szOFWOd5/znIHH1fNZVyFzRavTIw9biLYtf4qsPkeOAi9t5XFeCEXpLvKdvngQBYAkc8/Se0ZXVp
ux4C3ZGYDjPXGRhovx4JIy60R0OxcRvhbG1vq6S+a7WifnZ1N6JUKK0fNmRKUgyMahFUCoyyPtwj
y504vAUJsyPlbdCkEuZG2pBRYoOJmTp5MVhQ5ToxgUHxwDaKbTcFWYeE+MG1qgVRfd7z6EUjFm69
F2x8rYK5o0uASMIWdE8p64cEg6dIXVsJ2RTiwfGpaqj2LkuCzMXlvZFGXOzFxA0hW6XPBqvbW72t
dF8A+Eu8jbsQ3qczlXBvS0d37tpIbXiae1bDN0IwtoxFqn+v+kLt8fFvjCvEp4QtGVk98G6qauWr
4w7m/Zi42VNDGu0HOJ8YQuRu0BqrVq1gjIXdIL/VY2E6V6TmSsQ2vsaYq9gXe3vp69aXIUsdZdHX
IZXglAvLvlFKUCiVwuVudNvqI8mOKtykEpx1b4xVEa1ULJ4G3HPKEeGaU9vxYlBF8FnLqrDeK1U0
iIUXt0w3r8Dbfk+EjWEuLNuhiFMCWEgC4Yi6xsjVUbJVWkrcnutEl5iFFJ6/t5ocbxj8eXGPjsYy
/QTVB+9h+lA/hkLCsTVwXBBYeDZER+MxMqw4B2Jaq7sICqft6ykBnwlwqDpaWPEYoiInVh+E7y0z
avkk17bwrh01gDHcEF3y3LpVSSE5iLUnO4+UcQtg6HyudQtXxYhDBLPR0MemqnVsUGTse5z92AUu
6SGWQYaV3gb4dcDzYubi9pn9DBM1vjWEW+BAgSd6AaBNLghFjwyzRpRIxdMYmRx6reVG2Rp7k8Jc
dVHclCutJH5505ZUvr37qu4G9gU2pSGvnqPSNvyVqP3uqxErFI7SROn3ObWica2bsP0WkIXh8fnc
E4t1qjTkqxWkdGQ7LBuSKSUp+jKUPoY1JIIQdomTCoOTcAcEoIvgIuEVEYmO9OIAPXzpWt69LkP7
J3MCt9u8cgWDG0/+usIKbSJQYrj9JciZsa41Ino3oZGWAWwnm92E6ZN8jUahPGihFdmrDqne7ahO
ps5BhUHb0iAiTsOBgjlDzcPr7pM2MDERD0z8t+sYxHox4Ir6KcwaCluUpayrOotqij8l3jnQUbF6
gxMng11qduSCQH5AdAD8HCyGIGjWaeo0w65OWnPyMeO6hcyh1cI70WInb+lVSb4S9hcAXwSj4Sir
KMqdpxZESvZu432BFqY/9SppaipxYh/Iskn0VdYZIwkoShuMC4hvLkrfNvGMTSF1opNB86Cja0m4
LgazunNzbokUUhq/wN4xCQjvJK3lg8qNFMN27sD4STu59yvSEw+cM1GMfD+WBWnrjRu20bqs0RSu
RdJnzS2VEegiKOKhMrapi/eUjWDV35R+UGZrrSt8cFm3tbQ9trMyvyp0lUkxcWPg89aSHF81hAqO
alrTl53mtNRpDXKdFSy6WUiaQf7NAP4LYg1rx1yPWIz3i1EThfKIWsT7SS5nR2wLnH17gWtR+y4K
ktpdZ54OkyEotHinRmVrL9BzuJPFDs4DIAKkWHyuIkn5AIDEvJbUkHlZ8WPRcYi4hfvh4cjnCXWo
b2JHJt63rPdk/cyFLk1+UX8Y+x+oDkMydLWioHwWq5B+P8CqM+z7KiOCTmKPksbYxvgtRWYg0Fx0
+M11XvB+SAPkhXAqXdR9aVJpSFUkhHfYgbx5LLCfosoUfYuCIexuGWdyZBNbAeNfCLPNyeHk3+/u
oDxHzTuqTgZd6g3sHqwFNmKu/gupQZ7sah1QkBi7usXTd5FZcrA2WaErHfqCIU2DZcL1dixgBSku
O5JAEvYRYAbLGHy1RWJ/sgb8ZtmcPXzgc+phONFD4hl36SAzY4v3lhWvOx3ED7dEF2a2UUDW3HtU
ts2djAG67nCUiQu56LSMM5SDtvkCghtlW5FqVHXcJozUpecGuFwPhYWdkgm9H75kknaF8SGqWB27
NCob5NSIqrGNINRHDZ/0Ti2cz0Nl1mKNcAG1+CrH+Tv8OQJy1495Y7baDVLXPrmRMlfh6SfGgEIH
MpHlX+NB7sit2+aJ+1FE2gjnCkKVv9Uwv0n49bAb1pGSdNjvwABew3gPCA+Ita57rkdBxhHM2UTe
Y+ivX/cE3Eri8IquXeGASO3VHsw+/RDhHFjvfd81f+aqgQeqgoF9s8Y/LLVwTKr85q4ZdAyRIbo1
v0qS6v3vhqEmzY3RxIV3jROzpV1FsJpDgWGwAzG+YxsVFs5uQ2FumSp92K7z0igHufQNbzT2Yhye
ekhM6G3A2Z0wSN6bisJ1gVtKQmjJkBN2kzij3DVQ6huMDavYIAqIUEzUQFjX9yE3Dld6O4KYHkOs
D75SgEYuTYY7PCrYGTA5/Pg9d4b+l8xEvKYApCHDwm9yY6RiZCVT2oDPnN6WUeJvtKYghyEH+V6o
IAHrltfTFcWteAvQDyvbLeTKqof8qm2z8VMahfCZG57GKxtLuaVW4Ts3UPNKyWmRyk2q9va21Kin
mQGlXwiJ722bhNHcsnZ6rnfXqkqBp62sp3yI2p1f1+bSEuwkEblAG4y4vE1Y909jo9RbBEpUzN3J
srLLms9F2Kd3To/qJLTwsitJtfiSdr77tY8S2Hn01TdXrQ3bd0VBwiG0Y9Q45LSBS6YSk+HjWVax
MUO5M2JPW2NdgRkkpAmNCZ0LXcBwhqDiGk68Edao/HRc8wfTpLrrDVVZ6rVVLELqIDel3nSAvYqG
n6cdl6CSzXg3ZDEuloOZ7wuzkFtV1spPz8Dpw+/rVaFMLrujrty6xDnAaC+ifWgN5UNrNtT9EQqR
qOKJMtzalf+rSY2GoEUn45xMeVJ7TiDfEy6oLDVibEhIRM3UK5T0q04Qq6m0K8vA6KGgBg8JJ00e
cgJub1C5FTd1HZZX8M65/CQCgvXgiY1PSZ7tlOtTnbn5fqiYMShR4QNS4giu1Vp76GtEfWrmY/Lu
+Tgbg26ti6osFlGfel9YvCWC8Kb+KrSUQAX0DTd9KfNfKQG99+5QWYscSGgBdH9HHvFHLSf9gCQJ
ZRdTVzEGmew6fOCwrBsx7U6DEnZK1mytQAyfYooFxcZ3jG+SK+6ihTlAxrMOMcMQMZi+PbKoV7Vi
m98bxyWhtudYt5Av3JgcnFucdT5ZfZl8JaOd8wMBzD7urYitqsie8Jptl6iss702xvFV6scPTqES
yNDxw1f1QQOVdOk61HGGADJAZ7TEafejExSQCI3cz57VDMf5tR6a5S+t0gKKuBoiVsxQnZUNxz/F
UYxk0h4b5pWTKzVyKE1EEcsuJGGQQuoqRSu3LrCr4AhRv4SRtHjjxHKlRJG8kphchIta7wQV7aH5
FeKD4v2u0vz3rf8XRJVzb/2H5+Gn/xzHz9VLpPnwl34/96X5t0Z8KdmWALq8cG3euP8iXfMnQicI
AMD4H0fmf577YM0qcLIQyDMp1B0E5P+HNQv+ngHtWuK7RGURn5w/FoPbcJOlUFWqepg3GMKa45rp
0JSa62hEYMeGshkyzC09l8O+Hnrn9yT5j+/9Ywj1X01BIcTHi/8goD5+7acGNy9sfQjadSGIWIqT
L3ILd6sX438CIn7dCtgKIm0ILZqFBmcGoRZZMfDEi6FS2AjIzLIyeHN49vbNraC2IyPFAXThK8xQ
kkbQB0hUJMwM/bhLXF1dVnUVXEBIDh5OLwASvs5UKrJAgh3qkjD0j4cMMgkIfpz6S9sanormukBb
0k/+1yFHOI9HD/OKKaqXTD+uscheE7GSXrbKuMqKAswvu9NycWON/sP5/k9lquMfBhEUxj8kDoyY
rElk8JLfXvsVmjihQQdJCOwu6uQh44ZMSdjv8I4m/dRFvHzhyx4myLxRDac3fBUoKB4wtZeNEnPa
1W7oIsvCwugK2kZ2BepBvllvVVtpJ/mqM4uOR2PYXbUOqTylar5PfbPfotfyr3wT72hPevb6/Fho
M8jswO+3qKdQpYZGyaAcD0bZaaANmJEvCWMbhlXmDBsDDqeyssJmKn2qU+63pw7qB8qTD2avZYsx
cLLPdqgMS2DA7tpGt74dLZ/7FqyXZyXwPHKTdS/gpgIF8Bs0SuUdVfnxQ6u1/UR+bYnfUQKgo0rR
kmWpByjIznfr9ULC6suyweWm0i11reNedaZV4wsrUENbY7/U9YB8RM/oVudbmeoms28qMbVA3y3Q
K8lXrmKRPpgy0P2lIgW2T1icrDiMTe70erHUoNZe2IROfSsmJubtuMXzxWYT1zCCIrdw5iRfJ7aW
HYfmgvgQZGdDl//BACI10c0J3WSz0I8HsIyxGM6neB7LJLQScBdfhlBLL82+aauZjSCIMKV1KC58
KmO2FalNXvuhYARHwyFwCVjkFuMp5F2BbWyx4BAboQb6pmmsaBnj/XHrhqpGRD28rA5Vydpvre4q
jx7QqFAtIH3jzk8cpNyVIneFFn6zdbS/GXFpG0N1xzU89OqdJBdsTVBqS/ZlkRMAYptXUOTiC/vf
cblvOjGgwk/HEg53kyvK7MQgqiLrG78nx53MDS60pEtrYxRjusX7vAEpXyncnKOIR+v5WXli7ptU
c01CCXT4EgcDsRc8DCTyZoVWGxnyoPs7B14ByCda9/OtnNhEOXalBmaP6kmfcwG63orLVCOOGK85
nfNq6LdYGrmrtHXIf+qg2blsaBcaPTWmYJpCUGSmWq1OP+pF13KA4pbj0Sca3UiWYx9G14pjRw8x
2PUOr+bgc6MP8ca20uDqfHdPDCrnMlcMtGYsh0nG8LLliDUydoBgSxyYGsyTlR64rGgurIcTCxyM
ClbLdEhwiZotcLs2YsxHBZsxbmDLSNP6nVUI4h9hnV6YnjPCCbsWly+mCHQaiElYw0yb24uxhOfK
BaTOjUVUqt9yLJv9pl/x7g63Xckb0cyqB1hk1UaBm3g3lOmjn8Rw0JA1b9PAjrd5oTdXPeneSyqg
4RuH+/ePI9RjchnS2R2Of5zjGgUUI37c2Ej/vsME48ateBKf/6gzpds/Y/DvZmZfFe6ZbY61MBYp
cdxrJGbq0m9z6ODjMP6IhOtfVdKtrgU88Mcihp6XNTJZgRI290E/8Ooq3Z+94+hArIZ+VTpqs4Fj
9pWG7bVld95964Qwq60wWetdFGwSQqnXauM8X+jH/CA68FFZZ+zVLH3cmY6Hi40ZDngxGovattdw
x4snnEscQH41ECS/Nj9ql0Abbl3RFJE0OS53lUpFAT+UdpFjGv01J+xIXRosXqTZquWtoyixJudo
XX2IeaEJJClT+Fjj1EaPfUmHIbxqtNjSe9CAjJWGEzVuFlDsl2SSXnIUmteHmawGnD3ERZwU7NnW
tHBeTNZidNEZVwPyD3CWRRZk3Ve6Fa/7wHf23Doy0AG7xYlElGseON2HQAKKY2+4dnEZT+AwX9iJ
Tow4/lMYwQH7TEXr2flYaYXnoMIEt7Sz/lMs9V+4L8CwKDAhwCxiuNDcRN05OiinVxOkR8quNpap
nMrHA5DUkVGlLOZF1/UkKKnXkWniz9gTPdc0SbmNuFAuRmzmlzj6R+ts8k/Xnf7CspwXPfkOLAk2
fe6v7L4ot45/Bl4fqMu5Ey2Il8vXnYi8x5q0pSXX7QaZA7HavTrKGy2usnfKWMdLqPgk8eFGv857
Uka9PFS/51rC9pEn0T4oSQONFcN5bKOWIAI55dY5F4xy55sqz1DYFoZ24BegQ5stcgrAej66tQJ7
fjA3Tqr8jD3YtBEuJxe+0smW8LziYQv9Rc6NvOqiyMu26JSFoqS/kiQhAV1iqYOJuHKhpWmcX96b
6JM5PRUxagONNg63+hfrYciNQZUlOZJBocrdt6veMeUGVgmimgDf0fPby6u5jvXBxJuFnMxNWsz1
wOroNwU5itxkKspLht/6Syc2tmhU7RgY6Hxjr3uGr6alSoN3PZa92mxhOXkBJR/vxKVrEnu6sNus
BHeDaS9IFr6P7Hh8BxAfXjgJZgbBbMgsMJYY72EIUtx7Z5OkN0ZR11D5l31KLLdoHtukv8mwPMK1
9F0YdHs0z9vQ7665111YVK9mDctpYhFwYwTQgGx6vKbiQVJh7kYc6tF1YJmWY+9ZYallmdQ73ji4
NAV7U0qDJoFOpl3mxbQJ3bwuMDnhfuGl2oqKKEW6PrfWKVEmqyiUPTHYRb0536g63VqOJit0XZYg
A4zWkxSb2d7VamVCTB7pwgGPsi30VpL71NTbQxDztuRF4krmLK1Qz29zrzaui9Ktb1XkvlelF328
8Fte7aPTb4GdCFHFgsgyXzh20BZjzzdc9nVP1LtVUWJ0MMtamE1HsKxr5VOoh7glLpgito/hyaS7
ai5w5V6fZ1TOcKRmT9IxNeCLHH8ICIkU0OMEUw1u13dsJfmNqeXZpuS5tdId7ymSpbv1yykyOOzV
W9PNqy0xVwOe6or82Sf69jAw/wVB/7KYAmdIt2VQl8dU2+kv/MY/MZ1QtQPmZ3PMv5Q16+bfk80l
10OCmHj+TMbX/8I/Vftv6FEwaqE7cY/nO/8f1RY/Cq5okxzaZrNhi3sL+GkcrSqmLvsjLsyYiaOQ
5n/OjuJAUln0FXu68ynapvNUcx31lIhejMbd71X6P2mT3GFuXld4dMxbcRBLcMOZyrdcPg4Xghc7
BqaKGS5/0sBzIi6+1E7MiyTN2r2fNH67AGVJLpxsx7sh/Zj02YwNtx2esODExyujHy34LbBGsfyq
MFDsiWYkhLveY60YXmjq1QhOTXGEAm4zgIQCHDc1DNR4UyXDR4s8gG9wlvOlR5bw4/kRnG1/hx4Z
KuUmpgnQsX4w0X0xhKo5eL7aNxJ7Qie/Sy0kb4gtlfJBUxTSfOMse3bhVGBbhYvkpletZhOrVfql
gm8HbDHG387/oBMjzNyleoeLKrPHmE2cSp9y1mEModeTGvpNyyXYDgD4u9egjvqDtsD6sZK1+bRy
1paH+WKShh0GmzxabvOiax7Ju5a8SWL8m863NXvR/h5ocA9QPyCC6SQ9/p5dUBKD1U1Ec0yE9mrp
uI/mhJiW3I1vJLXau2iUxR4FLDTXUoVqVAiVEIxUKxatEprLRGDftsi0sCVcmugag/DvC474J+bc
dKnhN+oCt5r5PQOEqh0RA0GUSJSUfFrKeLmWNavzQ3GqFR5KUGkNEwhIsAW9POdFGjSWb0PHgATV
ews8VB4jyyTl/Xwz06Xo3wf7YcCZQexmMPuAtO3ZzSVwkrKDTgjzb2LjmWPjXYUoR34SsVFe6clA
RRafE7yguI08nG/61KqiLgUaOhVlwAJmJ6hm5F1Yez55U6WfgSfXprVzPAQFGwhg6q3EwmnkbapJ
CO+2PyBdLStoTZZaTblG2XNL9NLbR51ZN2FEjD2Po9nVlfSiwswiwo6hc7r3UR716B/t5PF8z0/s
yKC/6HCA6ymxzXFFxde71HBC9n1VoWycjDyIRVAaGLKZctxgyOP+PN/iidnEfEUYwjuAI8eZ/vzF
BuYWeOwQQCfJjigR8peVR+6wlH8weg7G6STr8NRHSnDcSqcFKMc9hxiSCPlYPsbktmeKvXl7X1DB
gCVQ02SvmK2MMSGNpk9g9gRV3t7h/Bes7WIsLkjhTmyxEJApCaDBowJmzV4TEE1UmKGcLJptGFvV
72AMDPAyO2gtb+8Qb0BLYyUI5CXzTc9K4SwpNTYcwDXuyu4JKk7dMbuw0qdhma10Sr1cXZhwwK/z
bUtAIEhqAVMwqYAdEtFZy0Cd/J3NVVZqD/6EjMa6fdf6zoUN88RQOpQqLc4QkEogoONpYcsyxkAC
syJcDfxFLqtk04wtud1lqlw4rKbDaN5JMB1EVHJ6HRzCTF7McytBBguxxVi0YbaJ4WIBKkH9JK6O
8G1tX1TNmwV1YHWcBWJSbVKnmm+gCGPtuo7riUgLr2ioEtLHiC680K9TQwhEYOO9wHYNn/l4CDWU
0KPWkUMgMUbcZYidNk2dlO+7ptEvLOJT84SavAGPnyN4Ku8fbRUeDGFU8wpULmF6V45na1eJaDqc
RzX1GhYJhB0lih9LfJk2Iifb7PzqPtVTdAQOal8CCRAdHDefZbWRmjW1ZZT4HHuKEd+YTgkRUvXy
C4N6arJIpK5gqJNsU84uG7C6SQeWAAR62d32bvphCNxyFZXjL9MNSTNCGX2+b9NvP56dFqwKThcd
kJd60mxom5QdEjTEWHRuom/CyNXeBUEh129vBQUHVc1JpgbGdDyCPTBj47pU6eFCEhBT1dom41X8
JkhuujiQyAQMwUMcVEAc/ONfrDRZgRR6HvA+qSbmQyh852eTdfVT7I7j9nyH5PSL5+PG3sW9e3pw
8/w/7hFWOSVd5QXD3dASC5yZ8malB/qoryCzylunaxt4yzb+IotEtjpeo/xXkkoK5BzU6Nrg2+hO
hjsmkSspFLPWUJbS6etfAaIO0oe6wqrQ3TeJttD1BIZ253uYZJhx3W4ypwxuBhLlopVWtx2FAtxB
nyC/x/oy8AWFcCgU+D3UmKw8ukNt4GSWNhHGPYGR4C4XBPKHa6r1L51D8RYbpPBzhiOMscCmoen5
vZrZvZNqajz6qeRKT6ZiWm08fvBXXxmbZK2lgbx24NzTRbPw9i45LtHEQURS1jmVMuKchq6LgqTs
g5XAFsi+EPV1Yt6qUzgIwBYXRTIbjsc/7kMr8D2hL9qKDNikyb/Zg+peXfjKrz8yMAq7DlVxi+17
dkpEMNEqQEUKkW00vMM1It3ZueMviySuLk2oE01hKQnBCdSfpTibT2ERiDKTAaWpHhg7MiPI8O4g
vVXSDrG8cO6euOZijKaTE80LnAfDnERDurqfYaMsF6mVY5fcSFwfojh37so+77BILnARWFpO4mLY
ilsvhVhteNKJqYSNHoX3hXTqC0N9uFnPFhQjqalCckTqcg48NLluEE3KjSOvtXhf5/jhLl09kDsl
JOMAgmZs4wTCbIPtHeKzRkJM/75qOQkXWT7W2sIL5OSZoae8w2LLd++L3hbDhe3y9f48gcgQ/8nT
sCRQzfG0y2yUM2QoSIYo0X5UyH1WZOTKXzz6tedugFzj+WHz/PZpyOWf1wiMGipWswcRWoVA+Dg1
L/JM6tckKRirRATqbqwj5UI8yan+2QAKAlwKBp42n/GID3hfpWjM8P5aCBtdhGP19/gVPGNO/N7q
svHCiL4+XCl9Q2DSqQSwkucbqQ6bOgm9CS5B67arSHT+FPMPyVroSTd6+0BOEkMmPec4Ro7HXy9N
GwStWcU1Xc2bK7VTTITfen6tFGPzJ00xlaEPA86x1o6bsjntxjbjyjLWarezEgxMhpiXW21cuu2d
GsBpLlIgY/0gejxuicDgIRxa3lHIRPRNxrmKKZlqh5uMx2l0oVuntl2H0jMNovanY8eN+bAZZOqy
IXVWTigYBY4ND2bzx/nvdKIVjYNVYwoC7ujzh47qkUkBe12iQFGT26iMsh1uWMkfdEbT6AdJQgLR
5by+jYA/rJSO6dADa0BT1vRrBFVi9/bOcCvhUkK8EeyS2auNjQwEDObJQtZVe9872rDyYEhfWLjT
xjPbPrWJmAZblCcomODxh8G/IJN1rBB+4escikbyy1WbO3Rz17gIXwrIOzHl2IXwiACo5vSwZuso
HNFd9jqNccDoX9TMsjeOwK6v9LW3I1tAqTzeJ/6KMVFYjvvVoyY1w86UOM959nU19vbG9qv2wnP3
xOhBjaGcBOCEq+ccUJQVEQbhyFvGjoW1sxVcGvqkNx6K2ibcR++0C2DprDB4uKqCoFGhYebRv3mC
JcnYqBJ8nhQiJ6uALNVI+wyNEk0mgPQ9LkzjUxCN6gMWB9AlW69pdx2/78Kl41S3MTACSsBlgQSn
2dQcdbN30VnBfwjycVeEWr62QkX7VEOfwxW/7i4shVPtsXMIeyoYTgXR44+ZsEZIsqTXXinSqxLX
kY3T+f7HenRHpKJSuT+/9E7MUyoi0A2JSJ1iNGebcNkiHlEOOLFSNRu7cdSV2nrmGqjtyx+0BHrG
doKDKaD0cc+CEAmpFaOmrAXRNZ1UCcoN2/Rd3LTdm6ELKvMWShOO58M+fNwUIVuK6uHwCsxs3FXY
en7CnHW8Me3+UpVm+vyzPYWDa3JwkWRNy/lmL33NCTWXlkqtje44FR5stJyr2Cgp0viWmaxaUZq7
ruV+dn44TxwAQFxgXHgWMUHnF28ybbuI4soUjdHbHzmLCBiN/fHC9DgxHbEI4MgCLeFNas/2TCAN
RMI6e4ttYf5iK+MX3EVgk6j+c+V2b9+gwS/YLAEQIL7OMYxCH3mYaeyZGDPmnAWOICwl8pZDKCYP
JjO5ME1ODeFUk6ZsQcmLct7xNInHEfdRWJYQ8Yr+Q+xZ8bZr/Esr+lQr6C1Y0pDQLdgVx61w2SLN
JmXeYzfzEauPZt2FF98GJxuBIwQbkvId1vvHjRBCnVWFyzs0w5Xkxswb+b6EhrA+P+dObRag/qCr
9AaS4uykSWFXq0phywWeAvbWCExj3xeowogwV/5geoOF4CnB3judOccd8o3a5G7GhX7MSZyKvN65
DhtFXoCLpx88X77c4sF2qMaBsc5227K0I+61zIA+yIKdV0pvbVdWtmn1cbzqigy1oZJfl9hFLIfM
vIiQnGid29skAFCB7eZ9RPU6eI3AArhNIvEpzivve9A42m3qYKr/1i8Hzx9a+WGrt149WgROycFQ
Sa6LeEkSjRS0D37WIKvUW+/Cifl6S6Qpyu8qKNy0/85OlK7QfKKzRxBrpUWU2ekyXTZFIb8jzrPq
RTuB5TYRLpQMN+c7eaLlyfiKdcZBOPGUj+cMPMzRVAiZIZ5GutuIR/ADTrX2R96gUwrK5GLLbS9Y
jQNZjxfm6+ulwYNwIhDDbaGYYs167aQxPkm8LnD40ALogX2wq6PQuxoya7zQ1Ou17gjqi3ASucMS
fzFb665rl4ipgbQspbHuIuQtV26NkPv8YJ5oZVLNwAO2kc3I+bYFyJqHfUyHjMFzlnKQypLfcol0
cLIVqpjTpYC1fkBhXuCRduYPbMxcx7VYqXdmkYwLvU7E+nxfTnwcpj67CHV3nu3zIgqWGwmcZjLx
3GQUa71ucQ7BQmZZ4SB/db6p6UA83lGwmIBdRLkGEdYr2GjwcXMmtokOJVXw6DWN/WHAHRhn7krc
s0f7GBlo6psPMhqlKMlhRqGGzfl44rse0gav7AE5Pdf71k/2CmmreD/Od+3Et+KaASUFoxtEbEQD
HJUY1EExAksbmRE8ozfVOBgrikKXCLenW2FLnhiWQp+3kmOiroQ1rZRp6K75bFAYknhcne/LqRkB
bnlQ+0345WzE8ENT/KhGP0HZZERlq41L+Ksjfit6d2HrPQHbsRvyECQrB/AOgcjxuHVUzYYBoGxR
WBnO+5jnpWvFihr4b1wsMdlu5degM8x1pRLr1HVa8sRT1XEWRW9gYq/48dosZfcBFzdt1cnBeDNO
PO3W8MshA7Bzzp09SwxpjJ778kLvmmRnZJbgl2AKcn7EX98kaYX1AOBDufQVGdgrSYxyItagZ3nm
Z7Kt031UjWWGLZCfLDkggwuf+MREQtYEUjo1yrEw+8SDjXA8L/jEuWeKmy7Wxw3u1MOFgsqpVrgM
TYACrzbsV48/rqbUdTMGpo6Tb6J/5Gfg09tcWnknwOhpI0bOSW0bDGsuv+mZMoOspypGlhs3UxDi
Feqw/KEqa0ywLYyfPydRlC/LJM1uIuHFWPL4DSYAbVjdSAujq/Mf88TyAWmYmGJgT0C8s5N2wLUm
MjgJ8VkQxgcjsYJtZhb1g1GPl/y+TjTF4QN2N20HRGPPPqMRW5gRaHA7wqT2b5Owiq/NIa423YhT
9pt7xUSB363CEuRJNWtKz7B+PZTgsBYsfthmSuJSiE1+28bBJWHFieUAD5XqGPkbSNTmvntNp+Cb
UVFUFKSy7goUVe99xXJW2N8rm2pAPXK+byfmKTVTgFb2vOlZOPtijsELxFbRJriFK9dhFgQ7Uwzl
hb1u/rEYM3RDlEt1wAtw1qnXL45zjB6LmkRVSn4NhSDCcc2VsL3gMYyVt3IIscKDET+xcSCOC4Th
x02ZA2W/KoopeFO1WyqRCMkiry+pMWfqYSY3zQAFY19HbQEHvtnmDXVzRCFBMzbubTKR26gJF6ha
V2julk1prUfCkfooD8lhUjeO4RJKQBKGRz6flr15dPktk3CcChDrao6gaPHQjsKieItLEMG0Hr4W
aVvbW3zq6jdOl4kjx/iCosDKMFkVx6NLtkCNMQ+MDPTR4d4x/epdpcWXSvn/y9557EhubVn7VX70
nAK9mdKESe8qMysnRFny0PMc+qfvj3Fv9y+VLiRo3oAGBagqIyOCPNx77bXX9+tFub8KswYGrZcJ
u/1LRWHBfakFtz7hRe7yYTireuvt5v2fXfm8CJckKQr7VrzDlfnHt7KS89eNilUzkjSaOC9Z/Sbo
/p+WLUh1hC4wpKH7Rnhyf+ny3W4emmXmAystv09c6lrWXYO/23PhB/Hb/r6+3F8HEwLJ9bgtaHH2
j/R3dxgho/XMUJuAFMzO31ocjR9T7VUfm9t6NSFXXvdz2JFi5Q4X21OPvgACLZiLzQWgihz72hSm
Rk0iQL8DyjjwnP6kz5VHxuCiey9lvXZl5JKRI4+CFa5ztrVddvJENzywku7tK77Mg87UwM1N0xQ1
4/llsr6R169tichW7dTACzHIyV+tMWq4VRTiGAv3ADylN8bSnPub3Jn7LoQYO3y2JMv5SV0tY3bq
5qljaQkW56mSSvuixqAqQ9BvoFcX0xXOodGrkm3ACjZ5dvJTDc5IS1Ga3S/BWN5Vq7e+TrbRjhE5
Yc49jAdbHaqyKcxDVe8BfwZ5svKsE2WYkpZe12/tMObP/iq6FR7tJm5r2VsvOjSzL93Mal3oVT0I
a1UZdX0kyzBLE99ZhlsKgvJjJnVoOWT5YhsHGSxGcNsXKedeLsy2OBdkBZmE9M92dkz9wu4Olr8Q
TliykM9isNEBERkWdwdAkD48HU3sVtmnvJ+XIZJuR0BzFkzVdb0wyI+Jq65BafZjS9yapskucgkt
+NLpnfFqEQA8wf1ICc3bSIp7sZ3FVedctdu33CIBKFTBMoJwcw356IAHebCJigRFky71O2WLIA+x
kG0arRLiCBjvzusjR8iZ4EO/6m9NzbJfzbYBQL44bvmq82eu82FyT0orTYlX3O/HwwaLUMZTkHL8
F7iaq3iot5LCYMOGDRxpnhVBaV0PYrc33a9p0ZivU0rk2ykbG/7G5LWQ33vP6b83mczTW5xVWxnV
lma9ZHqpLwlpdOmbR1JHevIIj37yptF/IEDXOhcrSysit+WVTj5wZGGbC2e82B+rlrqvSPjKDbGg
AvHTrGGW4IOtghGQ6Oc+soqJDT5safVyVCgb3/U9pSfu6nnhYvd9oXEISu0rz7byndXUoIuKsa/G
yMfysbD5mM9P0gGiE/cdFee+ndzXV6hnGdgYY5fH6H5L1jizyXudVAsQduPff5umpaqPW+ovN03g
SxX2A0yVSu/2TCXTLvi6C2kEIVyd5fuwVN7XecDZs0NEUgkupMjfFsSGJmbdu31gedD2Y+Dd0iK/
cvHTJqyaDvDxWhDalzCu2G6kL+rlHh+F+yWXwqnA9TROfxhKdxgSoO44HOy+IduuINVvvneUtKwX
p2INLXL9NeNm6Kshi8iBIj6wcoNZEq8IQ+IRn4T6nO8jqiOrE8LEj+NM6efCUnp9K7Z8hvWqyfJd
knjQhdnSO1vU9GJ9I025B4rUwGj3P/odlmQEYmlvGrcuYShdeEoas6zPMt+AavUX4tIwNJMRlRcS
E2QM+T7ueKaMdcOF/FGgTY1VAMtZlfLFVeeQwhwPRuYR8H/hPekX9hOg84Xii2UPgpxIk/VDs5ED
JoptSqcbJ9dr41SIsblp/0WWGgq+vK2yP+odPMX5rz66gYC52Ld6B0j11O32pa773F3IVZbm9rAe
LkQra5aljLIA0FVxYV4tF/4V1lFIKw6LHa+5KLOH6cLKWgdzG8OMETUMrQtPS5ul87MK2kNme9UX
Q9jZQ0kO2p7bCg34mC4VFKpML0B0rRdcVwcoZIn7C8aLTAaQXsNO9xrq3jTj4QL9ClazIV9asP4W
D5h9s1PtqQqiyTJ0o3lGF60gh21BM7+sMp0eM2OE4ebl0rdfe3tawXQ5g/GRGrbxIeEmTVdgwOCP
uf+GkV3IZB3ZDmTqWURXzY00P2vGNDWc/wJyKY7P0knYKy4f0NO4NntLEoRTOpoLVcHw6zTsg2pH
hOQFOYN+OfpHmHcN10AVBGUyG8V6J4Nt2mJnohyNAIr0S9ITc3OnibR7EZsHnBIjHDA9Nx+nH1i4
wGfqwpqfy3XBrfE2NlWfn/tB2p/qGsyqdK9G3ap/rpnsVkB7znZVlhMhDk2Qsq6xD5rMhFtDsf5L
P9+Qe6nRzwYpaKYI4lJ5ZeXY06K+Mf0zmWu6ETd6r3/MG6dATGoL5Igc5z7vbyGuHIQ6sDRnMZeD
QuzeOGUAWieClfcvWtDmn0B0g0eZLb+yk4wbCi28qgQEwa0rOKbrCsor1mPvaRNMzb3RsLIYS356
ZWkEfUWwzPjd7axYg8SB6vRVzCPRZj5enCZ2beBy4VaP4iyAhuYHq68V4iw7pkizwUac66IR0RnO
S1oee1boHwdDzFvCIwx86+CvzmkK+gCwUVlnfJHuQiQK8ycnNjKOjMTmyHvs2Ilto7wcOzuiKNC4
9wNvmyJWnLXrcumIUek21hJPDoG0j+TzEhqvEyB4N1YLLKTBs8kHzrc00fHBB1HfKveBC51gmabh
Af/NsMhLjGxU/IlgfVx+t2op2/R+S4152cJhTL2fduVo2mFcOl9nt9E3i4RcX+7jpXKH6shl7Q33
+mgLzg6Dq/TWdPPCxAXv5u6TsBVnn2Dhez3kIrXhWJrlsib2qI390ZQVniqhNqe41SpzNZ6CYHbM
o1amuXmm5WnHc060fXcwcjE7hxSqyRxpQTV/kd0wj/drMVpPbEinAMYWgjUIW77QXdML6ZWOGOrr
KADA/nVB/KcmzdhbNLwCDPFp134de1kkn3Ccr+wxQIFKcrN2otLOynvPnbOHv36pvTv6pVrdhyt7
04LxH0f+H6tVjWheL7eIR/BwmfJccl2ytSCEhzbxcgdCmccrkSnzrLp1S5Qa/y7m5j++VUwLCHy7
EfJXDwGBm6Aea0UbA8H50A+O9alP4ScSldj/zdjjT70MnyrTeFp6lyctBe0f32rOVru5QsYK25QB
sEY48LHvhuUfShSU/z5qE5GI5Fk5mN3++CqaqzepN/PkIr+7TEj8lJjCbDCfg97/jWD3H747/Jy7
XoCNiWnDL2rIprPxPWzYd6vS1pGzLcyxjhCQyHLXuuMgE4di6/LbsfC6q9lJ/W9/fe38pw/0MszB
8kBC/a+v3xea11DCYSn30/64rimxB2St/827/E9XCGsvqBasDmFB+qW/78Z6o5Oa7VCTrNXbi6YI
48xVuM7pP6eII84zzGACgZXqTy2iHOyxlI2PtUMERbIxFbh1leP/+Kcf2/4q7DXwZENduuzq/a5B
JN2GCgbFCV4nvmpz8uE4LMXwNx/bn3URY18JwQzPf6zA7qu7v+9DhfBxH2S8jKaq+Z7+20sKp54i
HNCdFkvV+XeLWsYoWKflDpiulrQraMXQwWxy9tU0ITRnYs/za/5mGPLrBMbiN0NlxxTBMI475Jdb
pF57ZbcU0KG9ufqXbHI0oqx6+zCmlOg+O2oDK+f53xlB/ny18qrYg3arEErtjlT+/eeRBuvY8kjd
TzqjiVTd7sGouZX88y+XEQR5BZxljM1+eZWlHOeBk5Mov6b2D6qe33R9+buBxZ8lBnZTEWbYoWbr
iLfzx7fCA034mcvzAf8+1LbBGN+hx+qhoUqAt+DD//Wm/m8D/r/2JY6/2IAfcurxPyI/9n/x7xV4
7zeeJ/iMUR5RIfXd4fmvCFDL/A3XpxGQgIMGtE+d//8KvP0bGi9TBnY7UGBYmfrfFXjrN576DEQ4
zVEQkeytf7IDj9jPVfD7R/s+f74cZPsmJI8lfvHfX/BFtS764EI3zkrcjVdTLZ0Hs3PgNYe5mckr
yZLoiFkQKnIdEnyd6x4x2Jv2WUlJsysL25TvfS5tELqBmxFFTDtvymsWlIvP1hxM+VW+WDlHBMU6
MjJJ+WVi5J0LcLovKnElxzbNQFsVBvkgm5d+9pwufUD0AIJqlqUBqtHZU5Y206i/Q68rP8q6NAjT
LZXMjgVt7TNCRL/GQiI0R2VTdlPs+p03RNUyi0ert4aHFMoPh5ZLnX7UHVKNI34IrCjiu7uSDPNO
XpvBkDlXxUqlB7JUl86xb4gQ/wTnZya8nrxFuCJrUDFHKJssO8t2CNJ4smWWHZZaz2gb9D7Q7xt7
1eSxdjxip8sU2B4qMs1G5HqyIYab2SArlBwqHPr3RcuElN7A1+GIQEPdYwjdAhdoyPkgVdK5m05i
cuPRPiVOKzuXALHG2NvCpXA64qdGeNnPXtFmigQgVOftDJAyV/5XUxfLMl43JBro4+PkkVFFVCfj
0iK4G2fdVfOTqdV7L1UrLCRgtKbFUShaYrRZd3vaXMKuRvohvUdjKlUjaf4nVt+DSBEwbbCmIAPv
AGtKjYlrgLBgfba3uuvOYcJzLcaq/MBkRKr77jnu/QcS7QyIUku+jqEeyGZ6zirul8QuKCqhr5hG
89T2sG9vLVSn8uhV0zxHVlVILUZd23IWikZaLZ+1dBcW9Yarh+BLwtK3wUf1iNJy7ryonftAnFbH
HM+qGRcFtwp6C+DxVkyxLBxzTmxm7N6BVAE0VPbodOuKLDe9vW3XmVZsEaJ5CcjmB8FplMNDNk38
S8Pimgu30rNjpVUkjg7Z5j/kSi1GrJCo4BDwo274hop74ZRNdwpG1EdkZLG8e15B0hOIz3m/bt10
EgdXX4rljIyUmjQmo1FgdlHEl87FtJrHxRmwMNkF0ZjhUvk0erMjF/ODMSWkE180yofpMY39dbCY
8ASgx5js6xlp1slHI5DeU2B0szgtk47nm/CvvTWZpC6NT5os9PpoXjoZmmu6mvLS4UDHottJA6Al
I7rf3gxBDVBzQTTb3jHp+IYbqGSXtqoYbD9/Z6BC07VeGrDh0owNGyQsAYRj79XEEGieiIZ/tXKX
ts65tHh5X2cppPtL63dpAyGs0BHCVgjI8KFPHKeSlhGnoLwz9j5S643ZjnDK+4/sGtNoAnqk6bRb
pV3nl1Z0vrSlotxb1P7Srjp752pemlhdy8ma8zPiPTBX742uh173PO7db3BphMdLU8z6Uf6YLVZ5
5FVpmtWlgR4vzbR9aazdEV7AQd/7bSi5tN5lyXwxLua9JSc4qPvqXBp1ke6N6wZduYy0QiNi7dLW
s7Q3Pbp7r59D03MRlrjx0RFULgHolEgDmcdENqkvkoEHE/ZTsesICod6mfh1Tcs1C2Ush/4iO8hS
VD8oQxEjyl2XWC4SRburFe5FuOiN1D/bFzlj3pWN9CJy4P5D8Jgu4gcRxv0YpSoHl9ZeBJLqIpbQ
P+tXzL+QULhD6p+e1lTXchdZpoveogP4ydu3knjMZ/eiyayQ435QmqPUCEtB58mIS3oRQCruuouq
414UHoYZ455yhvDjLj4PA3PU0cQJtVL+Mb/oRAxP5ePGxjRp0fmAkiQvqhJPMhSmkjPvobnoTtbW
cENl5q5HEfxofGaRe+GcsMf1UTpdpiWMF1K7gLRujv79CiNl6sOqSgmNIN8o88PNVcHQRl2gL84S
e6XFVyBZ0e6SfZOPJ53vzsFbV2RLF6YDh1foATVvQmMAtAZLQ2bLFPVzUFc7eSgfwlVz3UdRBGKw
DqSws/VY6s7mhxUo4Dep4Y66ctcC0rxrDiarXYFfeyQa28Z3U5cEWjDkBx/fMStgJ4k9qS6uGtlX
iT3gDWID0TK+Q0fZJKpFMHqE53fDyJ5/KdLhYC2VJINDa9LrrtyaHtiJP4q4KUvI0maTl2uoINJN
ida7JIP1AurApzmwx+d0w9fFdKTqH7gFeK+YpFcCnaU2nWsY2ICXLaN928D6kLG/5C1nDZQDOlcz
C8Zrd9xKEi8dtmnLnyAJPf/MtdFtQJvBM4fdUk37L7lKUmnQ2SG4Y1WrXr1SrSqcCIPMXrTc0bo7
XQx2/7VQesGna7ZtDdwqdQodmM8mSx/B3idIIcZHVOiHLh9ALii/W+pIFZ2mx6rgmI4IdEBXq2b8
/ewcpBJNnOJ3jTa9Wh9KPrwyrFtClkMtHYivdqYgL8F+lNUX/t766k1D8LQW2sY1AkzoZYfR382q
8nVU6b5/d4zZREtcFs+CtwTyO9zkHPzUVLFlcVmOzR3bNuI5WO3hwQzSzg+bLNjegiG1P/hVp88F
wPFblOIWJVaK7rFyc/liAT0kCtKiNTjUNo/HcBQsXu+XWFuGDU0gv3XeBsCBfYGBJA9UIEJFk0op
Y7VkGjpB1qqwAniSJ3O9bDep2kdQQGuyE0/UYY42dyoPruiz+pi7LGA0vBV2H8tSPmnOQh6lgA94
EzAKQk7ynfZV+bO8m7LUJPIDsfLJLzr1fVbKeSpLxkOxwdgqS1byq/sQijm135Br6bHCJDtEUzM3
x41EPe9Mo+WMfCOd4YYCUElz0K2q/eToorvSJKEYsanm7vuw5Q4D0XyR71RoTLqaILe+ccAuPIpt
LOQ4qcphRUZO5X3uATKOUI77JeI6qerQCIBKRFxN8wl4nKijmU7nZrU6k4LT7/Rvbp/TuU5iBh4v
nQCMFvIZSKe6d5sXxv1Wc73UWeFhUQFuHTZNO1hknUhXHYPcXzUaqcn9rBslE7TVat3mJucG3Wlj
suCw10YJe2sw7C7Z9NJoYmxhmR8rj/lZyABz+jwyDnovLKPnx9b5yqG3uSi8OgWMQlId6zGe2HgY
ohFWyHc5+kIPC3sf7GGecCtYYGyqxHWjMHkBGvE/7a8/J2oBziLCyuoHnX3QJmX+0aWsxPLE6Ecr
nDP0as44qzdObTYv9aFEF2XnnrlGPJiLRfJzsUCty9taux29VhpHjWpQHN1gozbvGG+rGMC4flqI
xlBxq2o/aSuZ+oe61uanObVVdlzZ/dYZsjG+c1XI/MOqoqYYnR8tb0l/nhc1xuBCl+a13UOZAnBo
tgiOTIXpIwh+2vSn3XPmvUhlEzpNEoy6SdtqIn50GLpHbTCCmrc3y7egr9j/hq3nZ+qwbhrcmVB4
5LoFoTt3YrntZ7OrdohfSgFIEPdWDiHP7M05lH4fPMot8O8z2XCNCEJ7n1JXdcS6Wp2xhNC/DT3U
KSOZfQM6tzjZdVumHP811UJv11Ns1yoYD9nUra9+Vonuuik1I09qqB9V6NauWgE8d7jAGxg3nHsV
+TrCT6ujybKHG5eNMYL1AzL/bznn/1rw/6LX/asePBwpdZov/+/wRbV/YHHs/+zf6M3fSO5g63zf
wMXhR8P9P4245vwGXQEZjGacJAFkUkTf/wmjc37TqSv2LBoUob1L/99OPAAjjRxNh44Pffcwef+k
E8ddsmttv2/F+WF7xBmoYQt1GPHpj604xUJtAE6KWD2uImMgaPEObIz1Y9A8xuqVmpDCGnwa9NnH
eirNz01WHPopP2k8riOzZuEy7FcjydMhCbwiJS0nH5FdtTE0usC73tI9xqmC4mauNv0PfVJXbTX8
CM6TIZV6PKiiZS78ScrhCjcCeY40Cgmx8f1pVIF7DRfvmViEI/fy1MVplt6LdsHpEbgHfRcD1jS7
7TQTdB/n0j0q+hi1gabR9IqKJ5ocnmTrZXEH02dd17e0mZineRGZmoc6T+eDSwfzFoh0LxCam9XA
d1bD64uB1pnv9aLyY7eR+Wj2uEw3ZS1knKIMpLr6VE+Fcz/jBD7TVNaEQtQ/68oLkrSf1YPuFttP
RxMfpr9W8Z4tFCO7F2eTOjWpedH7Ihjt68afy0dCBIxznVu7nKGmT8KrmXiM6WJcOWkGpMAgVerJ
zghi6TPnsRNzvHbuBw4P4/tSVCxGqGKp55hUIf1xXZopi9Ex0xvfXDo6xdbebnt6/lvknaZN5qxw
D1md+j/73HCSHOxTmTgD8OAwgOzxufWVmYUAidRDVpreG3YXy6cy2NaHtq/qO4u7IqdgpUh3Ms86
I0PP/QOro82tkN7PYKgETkE+wikxh3k9r2wGH5e1cVdqhyHIOeHxwsxWVGAXiEY1QQSzmtmNrLEw
pnjO6uDdLGx/+apUlsaa6gn2rC1lR8NUmcZLr2f63SS9x8bV6Fo2Q/SRW1WctqTBteGQ0XCNaV/e
tGKTSVuQWABsc6mviD1376eAbyMvRZdkg9juU9ndIVbjROqtZrkDUWyFWl+vdCHeqzc3JnHHuJWO
rWGfJgQ5np7peiCH9aOu8rjFbUWvuYk3AQkv3lrm6AW81k5HyNkcK06hOjHJ3u5X6eZX62YmGX/F
yh47nUX1mrotne0bu9RvCrQMOgUi0VbW5IrbbKuTzBfXzWj6MTETSZZnyViXUySyJbQa7ZSvRpyz
69b5XrTl0mE27PS3nlfeW5N3rNDTfWKlllq9eEUWObq5g9CY+ZSI6mBco8E9D9bT1D73jjziPKCn
+VZaW7KsK5+n/q6D/n4ay/E+nfA72f2R42g8SNQBnRSbSuKAWNNbChjSTasl7FYZdkw/h6aekmDz
T0IUKZYU6H6y51vVgmtfdM2Zr+owVct11S0Ra4PmcSodg6WX1YhmFzeOyNUVQWXbA76mlBoBcLRW
Z17SIxs8c9vcGMXDmpmhr3+IkmpEbyJrc44rc/QeI49F3RNszZnEiHvq5KgrPbxJ2zXLg3Euftqc
Kt5iEBGPRvJphroQGjXP6aI/Yl63Iy+VSZp7n7yKteFS8fTVAvWREul2kxMDgFtT/Gyr6qGiKg23
PShj1Pt3IhK/a2mQJoiL3tm0x+tlqeNxqe6aXn2phDgaGtCewTK+rk25ZLcVKckxTfWISZh9/8cW
b1Bcwh8kgmZr6dD6o6evgm0kswOZBkIc122GuLRJUoRgpcVEpuTXioJOC2vkquwThq99qyc4ZH1J
SVzGmr4mQNGeszL/ITT9a7PyURm5Xz7WG3U5YE0yc7ekcTH6IIdpT/aaqu/WJp90TU+fZJ0KUj9M
7a7Imb8naRXQx07Eldw66UoyTqfJ09y19HBkup8JBjJecdSrEHGufdfaZopMShiYrlvw1BSFIgLF
2L6UUgW3cMUOVPhD5FGxJbJD9vJhEIZkg5Coqz/nqWxwkfnvleYj5VWoVoi6VPOTfiNFIa5yq0Pe
APAY2WbR3aRMT8O8CpKi8yPV1S9GNT9U/RTnA4ZESaT5TZ82xX3aDJz9+Sdv5c5o9eGtr9uDXX4R
rcW2aPbsidUMvVb/AWL5lLnpFb610ySQZgbBU4V97uts6rtEK/tvJO/dYi35Vi+CJBXGRlHZlo/S
ML71msR/gzEtROE57TjNaPawBbhlwlYi8S9LiY1ro2T3vWJJ2MARkZZjiwvWhqbdcmuOQnOGY9qw
Y7J131JDLw/V0FwtaDvfp7nyj07bfA9kezWXUj94GQ2oY0ddPeGa1POkSOu7tRb3fa/nZGGvHo1R
npTeGqV9F3f00439aiyv2/ZZOVbUA5bL+bRlw5ydi44txrdgmm8qyVNtsItkGJeTo30WWnO0Sg8e
tbm9eX55LLTP4K5OYz/fekAcM+xGIcpBE++hNhtRR63jHUe9eZTVdLDb5bxlLreD6Ua2Nz1kQ3dv
ZeO16CYU4KL5iuJcUbOqW8ry86jkmczEeG2qWyrgT2mfv6e2djVN41XJRdzSrWdDcd24QTQ2BkS8
TP9IZc7AsDtDiY1q73bzxjexale4EF808FL0vtqdFzQ/tum5V15+MCaIt1TvGcKUTQaYAxMPWKf5
hXFrDCwJxTkj1Hxxntnkfl/VT+yyJ0i3t+7AMSOJmbb04q6tjBM9v0twoHggPiY0x/yBIZm9I3+w
aa06t7mJSVENB8Cxt7l1PVtpgXH1W6+Lc9Y5iam6uOjoJFcCMAd7PgTLB/5BpOihIe3bsZLVNG6D
dDoSQaqdfR1Qql+iJhRhYdCdkhKaq7d8ya6t9W2d86NfMyFY1kgzEcDZge6udHNpWfKanqY+OE3b
8jjh19l9WsmYBt+5aeNcAUmtVIahMV3PTm8BRZy1727XnfMgOPCBRVwa0Vrl5xYWpb/5x0auCR7I
WHdfHE1+kbl+tAot3jg2Ml303IDyLtUR35vhyZR15O39mdaf1wl8MDBykCFI7JaIWt2IzKK8ZYW2
watEIJf64VfuHcnu76axHsZ+Pdmlc3C6LcYUWEG+ahnsHOehOGfehH1x02sMPzI4ysri6wUTGZRj
7Dg5R5V9w8z7ZtWDhp2J7HH0xk/tbGlxPX/GxxTXbtWeLLzQ14vSCt5osF4N9Xe+ynNp8pm0dbyM
9S23VrionchqX7kqRVeayjvZQ+doZu/RZYwVeeMMV3F0bvHBlpjkvETl5lMGyZJvQj31FBrTMD1o
OY9FVHwnn8+SzfUw0FVskrNuLE7sziPOLfW84P2M24E8ebGTxlTTj7FtL9NpU/Z7EEzNy9TYTWI5
KrgOQJWHaJ3gWxfNeVktQW7IS7Atd0NnPbftgtXNPAAjfcz9/hrTxI03MPBRu95hB7Et1dWwGizP
94+2NJ9IXD8tpviYdf9hGOuDFtyYsxbnm340BeQ+PnvEhRu2FV9ABk6HTR++7wc6MhIpuV47HSuH
xlkOnzC0nXf1a69NkQC8INR5agd5muAHDGdCDtC+Dt76Bs8dndyuDmSfjUflX1VtE/q9OKHV5Ynu
CSNZHYdLvfNjpj2JFpjfMvm1IcXySKmecynZVlKb42tj1Z+N1f9ASUuviEyDrWJyBMDzzczizWqa
RATuGTWQ763kmcG5MO1h9jiReHII9ELLS78MzhSNU3VntXVIdUKGiIisWpH+Ox8UIb3QfmsrvbOz
u1R84N8JwXpXpTpOjXZ2VP9ZMXCrKwYDQGm1Tv+wsurAogk9DxSsDOav3jJd8zGxNVrY6xIQhA+8
00Ryw6rZu9axwC0GUvoRHO2LN2/nRoC3dcWRtvW0WGOcmYTtbwTg1x10nwYRDMJKlBd20lcOueKt
lx4HG6u8nT55/QcC0xo1fuMdNvvJ8msrYeDqAxf1DynbWH22RtCFjXOhw2TxPBhN7gE8b8h8o8Sv
XL720xCL1TuJJbhjOupHWvU1MNiIML4oz35Ybe+rkX2rdBf6HclCYV/g7HyzWvOLU25cM9aLkGV+
qDePpzaRE7gaGwpL1Ydt01sfeWqkn/2s50Ha+AVWbyB3x03SSGKJx7sp5TMjtPQVlyLzPWFmK469
ziFur6OGcAfQfGPGA1Ox1Wba1FdWhlW4atxryy6/ao71jnAKFS+DVp5p+yXpTonKxIO5Wl/rhd3u
RfTPmM4IeZq3q2BWb2afP82OLd8KvfxO4GFYpLCrtDo0DdJ4NvHorDChzU7cpaP+XfXalRS1xQaE
GzqlF4PY+97bM+v/9e5zxx5o3lW2nSj2HaJAtTiG9fbIkz+ZMu0m41H6UAS0e6ahlbfN1Bd3XSCD
06owBtpIX4FIpqogZiUsCqZUdLragfGVdR7n0nnGUKgOgd/k76Qqlx+ptrHr0GxVJGxT3biwwaOh
07YPLRv6aJ4mLSFIw7+dNi04ES3YtpFhdhNAeTzhB6y+2g0G52qOLW3UjZCpGsK4UW/2z6nLO2Tk
opnvysIa7zNHamXEwAFZuiEakgRnNTLtyAzJCN4YU5yCSpidcdNS5879EeVqbINTAWrNj9OhzJzX
Wq9dGfnOlMmj1q3abepm4siVRl4ISV9kLBTUHRsl+AOLHnjxV47cKB9TcRdgy6X51obzIFlTmdTU
NKTt5caVbxJZCskty/tQsk4wkPBmGzEfljGF2gSAiIXqmj/bFBZvI+coY8TSpBW1K809bcCJQD0C
JyXxblNFGaaY9nPGwDbMxbyy3cNcUmzMBoc3RSo76IXo7DuP4bUZLoUrzpvS4MSrjIWTVXryOhir
4KVl+exJWS6Tl9JrN5jwfcYVDfynaND4W+8uHZTGhDbQ+Ab5n6eR6pdRat7cjhkWhXD0y+4RCala
/WRW2lzc+4bmuAfJVuz24thClPG6OBodJKMPtGJDnOuedi22tXR97Zs2tw6uzb0kmc9Qdu7rBoXe
qetsI7Ur8bwUJwHrCZ5mfMP2WurnwWsLhitg3WVpnQqI7QjKjtEb3a02WU1mxIiN83JOG+IMbop5
YecikPjJIr3YDHLye2/xJFs2Qz+fq81zl2dk2sr4QQOXez9EE3D8zKqxr3IndZf3WmzzzTDY24mc
tJph4YJXaflv9s5kuXEsS9Ov0pZ7hAG4GNuqekGQ4CyKkmvcwCS5hHke7gWevj9FRLVluGVFWu9r
kYtIk4siCeCe84+dl+7MpXaMu9YauyjgSWAcI9SVPJlS1c7binaAaGsPXpdi4qBKfUVLwPfzrKm8
c0YEClqHgaLj9aQUioea/4uRwI9pNM0sh+/CWXC9Ov1UxERaa0sXTDQavxMMaGFeGPxhPESqsiET
ljnad7ZAQyxaNdlb6GVmvXnAyreqR929NMqzmzW5B9qd0xfis2r88Z3MC/OKx6L/rAcmlMInVn/o
mmSrqrk/NPpUvzSGQSe9ym2TGBF91ukdpCGa6udiNjeoQ6phW5lLe5ekWXOYKCe9ZlDtyZpEbCfF
UBV38C3K3NMu1gd2m6TPaZH1Rxwj8xUvW7exdElJWMJjYEJAELE/5LHxOTiRv7en3L9vBtu7a1Ov
PpvDaF8R8VHLRVSEcej6Zuw2Tmn7T4PM7Gv7HW/L2p3RZV5g+UAd1/YzwAaReQenLJvvb19mACKp
7d+yP9mB0rJsTx5YuWoTFy7bjpA3hMrVvSc6MocvvfO41mVEtCRChOq+wmZ5oVtbC9t8No+lFbMv
GCcSG0G93JwZoiTzFkfzzJNOdbrATEkr+n3O4/IZkVRzyIw6vo+GjnnEkr0PlDWBttkM4zdlavrP
/ThzesM4Zj599Cp+q6oigSH49vb3vfGRu4VVrIbJKB+zfLaBGWONyFLCS28WYXSfRlxduI6KlRia
7EsjS58LVZJOuDWHniOGz9kJHS+90QsdkLTi+cLQHjfjXdaWVFoJmJUXUfdRtyq+q0tOQ+M5T4Zq
mGZiFzVpIyYD6MdgfVssE5tqPVJfuWpttYD5DYl8AHOVM/UU+rRDiBGv8tpiSLYuwoELNgphbRtd
RO5KjGOBnL3vd8BwYm+r2L7tDC9iWRP1XiyvSXcnO9wbEZLeE8jn7Lrq3kWBc2i5Cw/CWUSYusN3
nGRcMz5rRvpp5AsjjjKi+WDST3wbx551L0XFgmAtPdaYtP9BqSuLLxA0Mbejrc7FGFusrc3dQh3b
jWG3ETeX8I72xH7F5z1cBU8Yxo6u2kj1Q+QgBCYQw67wWxMBeK0FcWL3lIMBSfJd6OqYCwP8xeum
sBAZqiNRcnVLet0nOwJRHRAgJWe94Di1sy23VbHWcRW1s31PRM9K1ltN+d9U3M/KKrY9pl2N0QZj
y770593ok/FrRowd34aCaBlP0qM6r06J/YbdNrk4q4acKwBno+6mMyLS6GARQcTyk4ufTjloT1ks
kjKE5HEec5gzpBGbybyN6GR/dvrsOHtth5aiTM7lrMSXZHBAY2Pp07GFTHwu6nn+LCxRvBBjZx0I
pic2Puk2XYUEibtodrvdlBCfuyemsM+YCfNKbbk+y2Q/EcrxDEeX/RSDnVzyfBEfCFzbjIeylm7c
3Coe8MEgZaj95gbjlYiD7+zGt7hrcV26mtonST7+MBajQjOk+dNlNuPlKt0hAnZHyveedVZ+MAnZ
Dfmh7WhLfacry/nZGIV7SpiQjI008+mtG2CKMzm0F1EV5c5rbX2bLuTr9667bCsaCzVRXUnA4TqJ
jhgNYDEHIt8IKkue5640tjIpzcDXxyoo60vMEbiOGoRsjh9TZYwsZa9HIoTjP7Q65DYHebnK/O9b
UqVDmCzteZIlyc9V61E0ER+BtbLAE6TWWYVhBFMMxruMvvMoF7VRldg1ppb8HFw7+1b+HAeV5pto
HAcS2R1rTTWJtVaae3J9EPvY9u9LjWrYmijKXT9zBhmYE3MAUde2zFVRRw8OdOwWw3F2qo1SXyGl
IC+vnpdbt69fVNp9ZpNaZyXUrNlmLFlVdRiB4gNzUugSjPgwDeUjkg5S/Fvx5s4jwFKSaaEzMha0
45Y+i2jfeBlAjHQeDCqVb7opci8jrOgx1couBNPazOPASOfRZAPA212cxr6fZNzkoI+Qkr0bvZte
dYSMQAM2LFu91l7aBgSzVmpllVzGfoNVUoMdGkbhbrzpZ2ZLlgvf3DVVXwbzMF1JtmtXFt5NaKTS
3Yze9KTivOM+tm8AbbJHxs98W1PxsuHxvo3SPl+puM/5NfOdJzKUFfjWioRErcmvNzhz510tJntP
SLmx9wF7dzMCwZfZLEpG6w6wQsQaWpJn26u3/dgdYqDdDcInsRLOfDVyfwinODuOs4h36GoEtqkc
8aHeDW6gqERZ5wWcOD7OiyB3z0XRtYJ3z6hK7TjeMD4B1Hnyw1ukDeChh6zXzd4wUfTN4IbSzY27
Ihk2g+4S4R1PaqMZ7QY25nX26hmUrWFiGocnKwc6b/2Wrl0TLs2y5a3mdVwezGHBgCsyIOyQO9BQ
+14Nu8ICe8yStLtKyRWTF+oGSmHgWedkOJPH4lR2eXOPlezs+72xH7XyR2/MJzNWP5VyD23THr3F
PWVN9uj/DvXJ4Z4JXkeRUhbXxnDVzxjgzsySjsRnT3vN0ty9OHpegFF0447n7rixi6I4etQCMXzw
ZtCeLVfHzN+H0SVJmzstgV1EfYDdw+vJ3Rv7+KbskgcLEF/P6hL8HncTscDE3QVLn1+hCHel5+6S
JCsCnAacTpLxS5Q7NLabXhsvlT1sGpU9D9PiXmcEY6Kbq2vWEwdWq8m7IxytWGCauGxVrhdHtLSM
Fcq0fig2AZqnp34j8Q8RUlOFmEEA3GBZthPdDSeJkMYExAsmXd70UT8+4gxMLpHWh7Y5pHdGtQC5
DZ4KxgbJvDHNC/IX761toRUxk83mWUoDVKefor1eWwBiBv5I/XVeEDxUBjKP1DcBAuVWitgI61H8
GHmUrFWsugMK/OFdZRSROjimuSiqO0F5ol4tJ89w7rTeeDdFvC14JBLaF/CNHsRA6ZN/T6HWHkem
XA3S3M+Rdoxza29WzOd+/drMkl6k6Si1klgvLKlrq8Hp0y/AiU1DqwK/lBJIlYOR6x8CAVtT8G6y
rP2JRvuu6fIjOWeXIunWyMXUCojf2bItzTt0eUk4mcXjDPhICJV4GEv/MALkVbksEJb8DgtyI6jE
7B/VnPVPqtQ2eQvrQp4s4TJyNrGyLfbR7dqXLE6OVp1BFsBwL0E7qDF0VRtvOJfTQNfls9u7Txgh
7llniwfeTrnqsf0HjbeX38pgC8RYxc16zOKTsA8yaY4ZANKtHPU0xGB5ydKfZiGzFFUpuAy279BF
AaZYCF/SyVTvXafsC6qc4Wcay5H4pAxnF9rlbyQ9bf0o0LgF8WNpgKQrDDP+tUTiwhiMh/ExZgXR
jjDk2kXMXvVSx7b9pn9jbgV/pcMPfd9PqH86el5LA0018akt4gvK39a0/uL8s6qiH2FTjK1tSlDn
qJ8uhE16a69J9DNet3xZdy6ElFXoy4ebMGKAx5SfDKMxPGI2BYNbjDzAKMmIj7GAvAQM/tTneNUz
B6VDLbcmg1mAlBFJ/ChneY4sMQNu9oibIRCVERT18GeA+/+IQf5hfMdp/PeGjNNnXw/JX3Qgv/+L
P3Ug6DZswohpAUYJQpURio4/DBmmS/GggThN2DplLxgw/p8MRDO932yX84PuHkw7ZIAh3ujrcUj+
8x+a0H8jvxVJiW1j7zDwcfyf//hQ/zv+rG//kHf0v/z3//qnvkB+/K/Gne8OU9Dk7yoGQcwPpqxf
HHu9y/xJeEHEgT5N6zbLqeCqGGBi6a1zMeo3SIfuDIvtcZ6KU6GbnHP1eNBF+9qW0z5ypl0LX7+y
9WTc2vkUmh14WW3GY8DmnwRF6q9H37+mw7DK/aeofasjmvsUe2CcHWZuarp7nqYBEWJjDTeTnv6Y
3XS4QP+H7iBosHJ/eq34mEpTX3WyCKNyuO3SYj8N2Wts+QuiTZ4nhTWqx2qAZCf7ljAH0T0CZ60T
F5lcGvlIrSbJ6Jkc20FACFvEBRQIErT+ljACGTgJRFLVgrWifqkn01o3Vp6sI0JKV8nYf9rsSJjS
NnnmJas+lWGrTV+tcmRYEHCDUvo9y4uLk/O2tKYoDlY7rG03e3Ucf1w7ogvdpPrSFgQvdT0+d115
O85lxTjbryLb/7DTE7UehFE8Kq2dXjPdbqFIvXY12gvZHTI2A2JKZDANM4cm57L2o4L5qSaKGcBV
Vkj97yiQS4Omz3hYkvIFALA8U2rC2aSsrU6ITSFEuRYqOSKX7tkIe7ZrebUmhh7LCxZI2d4gBwwt
D/NB9bJ08Ed+ow5+HiOa0auzXX9LZbou3Sjtu004N/VQk1G2XdzyiiBhU+TFdvI6tWJFsKLiLLry
RvPFoe9QBpGJet+N2V1MPnegxVodcgQG0tLcD01Ft5rrHJTrIaBr+WGvEB1r9dxutcIiDpmwHsih
EgE+9wrsKvJYsmt2ZPzdwBEHhmjG26oT9xrBG/c5TcurCv3MyiCrYmuOy6MGemDlKB66BXambd/T
QpETrITxpUWNibXFkbuJJN6gF3P0mLLqryuRxCGRV2JvzvIwZtmyKRSoT1m0KcqC3g4yW7VrClnQ
4ve3XRd9tYY4O2PzVOVVt+6I21wpO7/Q+2OeBDVO5uS6oT/3c6hFtgqy1kc4M+9mJPVrdDi0dHYE
Xc8je3HfhRrupfWwGNat78k3Kx2WsC1c5E11xt8FKZrXfEamB4SXp5TSIGo+MdM/d4X/oGvF2SXU
N0wgGLgFTXVjVSXwmz2u5zF7kaORr6OunTa6aB7B+bkbzfpGNmCrmhWhQCnSd5GNZ1xaAGSUEW6Q
6+787FxYE2Nfasn9kMWIJccWgMqSBiebokQcZIOATGemdxruLEVEuSIDmlRrr/iQRlrSlNPVbHYa
6Bd7idGlDyxw03qQ5a5ko++ILV+T9cc/y9SHX+WnaRj7VRLZSLDBRqESDwwMK01TbUBoyHs1mWQ8
pCQXjEW1LlMMTqiJdwSCUO9EA9gQF5ukuKQE5UDEpxyL1yrSQt9/zYxWcSlkH7E8TaPw8fd0t0QI
M0BmJDdYVledxmkmmAazcnwvzKnZ4ctpT47mgK8hmdpAwvShqcfJ3kiKPZkX02vhNDKkMcd4ln53
b4/zaY5n4gbU+L0TsQE1g28HYLTVR028LuzI6KxlKbK9hVIkQCWyUnQcbbzSr7Bi1RexqHO+UL9s
eGoHZ5IfJqPacCE0t9LXjnMzHfvC/7m4048sk48FxnxW/3pdKu0zdSZ/Q+IH0AXqudhpAmsxD9Y0
H/sana9jzyORQOw5syd4oVrb9cN36Iwt5bavBdvVLAIXKQbao5S1W+6Yi24Tb7zJKFcKDDIDgajB
WuNYHkfbO/S5Zq4bvwJD9/XTWGrPLajrymwn/TPzUJN5Hs+vhqSY97wyywOytGllKLz1S6dOelFV
27FEqAoXLNdZr2wiJtxwnqp76LwXpOP1LHaV1NCnZPi4wOc2wxRLrFLF/CMq9kvd8fwmcmp4nB2z
P2uxeagIoFjG6pDMstdXrmDTQ4COtcWGbR9Tk9aSCFuENBBc6DmPz5mWoHPuJBetUXQnFgPT6jcV
2RSDCnU3vsjyzcwrfW3XI2R2PgNuW87bNDbMlEO/7YxEBNZg7zrf2CW1FspBX9dRvayanvk9cQ7Q
gIFrpISOpI+LjQ0smcoDpoB9CtpQ2l2DMpul2IEx9Obhc3bxY7dxcXQiL9qbDmYLFS9ZQH5MkE/V
ptI5Y9rxnA7eQ4dpT4KgOLn8qRttQEcjqTeEQ0XoD5pY/+z64sEgK2JTW50dJh0XU20XZYgS3lil
STWSJhjl4TxEoV+BifS9gNHDtsPC5qeh6EZG0FHeWZMObLGE5B+ijK+7t1zXhqAyeABI6q9CjGs5
eykn0LTIl9SN0K67vWFs2x4Xkj4gYiBwqAvRaNlhpo3zpuodfWdWxMWrZXnynBFkVQ5MFg2oiNBM
tcHE1eyUXU9BUqkMojjJ3tOMcjpr0Sp+0E3I3laIyNuIeL/EScd3PRHlfpllvtMSC1GIZc6PNinS
LzOuu6tOngxmc3fd2Rc7DuGZW8J1VMCSfC8066ms8v5Hpk/IptynqrGHPd32VpgMbDyxLCpOcx6y
Wu4O7MkD6VgyeqWCwlu5TYNlX6dv2WqTsPdrJDzfcoH2U/aOOEUGCUKLZmPvnO23LEOYXrn2Hse7
ft/Gw5M5O5xl7l3kjttBTuLJius0gG47ixjvCxBRdZDGgAKuRTnZ9JyWRd4Me5S+IYZQ1mJo8Tq+
DFV2SHw0NcpEnmUEtYlTyq7a3cAz3tRxGqZJABdF+ZFcZahhCD55dNP2FOF6rMwiKFuU84Dn4RwZ
hKJNqQjwwOzm3PhR+lbNAihhWkABEDrIyyDMLT4Z7kcH3W2JY2gmPad1NhmtYrChJ33UNipOggqu
sPGji5eM97FJ4lZtwEYpztZuL1M9TC3roS9UIIxlDBZ0Jf6cQVRhYvDJrCbgbQPNh1tv5JyXgV0g
i4NFLC3z0+yLbW2eKt1bpz4ljSNbXB7vLPs2rtKPwmyOS++sG1CzYFLMSxDyZOABdcbbMhp3ESaR
ujW34EEBY1c4Os6BtFZvC7zOV15peZjOsbuOrOWOlRyRAHkJeQm3GavloTYcnb+E/lCRjOOuHeUj
a725tmYOtGF2AON437b+TrDUEfJQC/p5+ZomeU7xroY20TtR1e9Y7faYTS9c1Ix8aU14jwbB4oey
djY4xXZTH53TsXvv+jtNl/eNhcy/j9a/Cz6Kl6mJn6ra2DaDF05+t180kKJY27utftPaKFq0rFvX
WWGulVQ+mtU0VD2kXtnNX3XuPdsFRxXPhtxpX2q3+6SC42gjTRmj+tSnKG/Mcaul1jbJTVxYzTa3
Jdq0cpM6EgHn9LK0O1+Pt3UbM80TOlb6J5Hf+It8xW166uOTbt3FznKtwd3Hwg4s4va8JFt1SXdy
SCRpI+xHicGDDLn3sUP5QgzaeB7z9M1h1s0VXu3O95iZmurdbM2d02to284Dqf+BHrc2hXk576vi
18y681XlXNhM09ZpdlwmKhL32vpSi+46aXbI8+PsfNdP5t6trcoNMkjRa2qll5jtzOJSpDMC49Y8
68Q/Dp2JfFPjMEH8QyKkm+z9+QXjaxg5xVOaFmeLQdXujSPBMo+plTw0FdLOJU5xLlFeXaBFKdLx
luCpFyp6izUCS4KRknE3j+Lizh+TgM/LMpzL/byuPG3VKX8/Vv7j4DC8tLCQM7o/ZYpuOwrtOgnj
oW2eXeWclON/cCXhVxvyOxP77GpykmjFMhJvZCLRyyxYdJo8NFEinGlPF9uqKXeLMm+yTL+VzrIp
+xl9N5bhVYSwADnKp5PCAHbj/JhqxLm35Bp5HGPx92U5+S+KWSnjKNMr7VRUiJHVA4aDbaNBPtk+
6kjHmu4q/Myz3l9acIfYHI85Z2CiKW9lTRwBo7L30RKtAD5epuniF80NSVpnoXn3/ogythPPFtkb
Bo89zoyuC0azeRiX99x5y2ztcxFA2zaS+w1tiSQN5glSf3vXL+O5xox07ersp6rTc62jNEBMH9jW
vMmtIUCCi8xSu7Flusm94QCWuyHP8cs36quKp03dIEV3PxPR78qsOsaprm4Ii1slMqIX3c1X/SSI
LziwrS0rcMNknWf8T0VhatCAlroQRs7Pqq3zgEjFvVYL2msK1wzoxToXjbZN0b/GbbLruu4197Sn
rnGCfM5UaOsD5tsOelXjaChKuddkfGNTFYPpi4eNYE0nP0oaQMOYFKNKbjSdWPpcTigOkwYiErmD
CakYV/pdrnnexjV4mqcuKh60X2JvSBT/OJjQGHo/oiZ5aUpSCfppPMWGedO07XdmXRnQ+CcPTelA
ts/2o1UuM5wB0WlCZO9DY93Xmqih3fO3xGSWFF7dbplMH6YJdNOM2r1W4rccte55itqXMsesxABP
fH6Cg9KV2UfJ0opEV+mHqK7RJo0oflPPeY9lfUfWHZlgBDV2YJT8NrDSue4vpj6eUZLekC1UIYXB
4IfEnDsKA/kmiqBGs97vV3kbv5CkZ+MgsModDZpym5H2hJFMwWhgyggJuelRf5Yt0C7qAt/JqkOB
D5SPPI2eDCP+kbSoEdmP1fdvGy85T+LvNg9tZ3ZJyJczrTrNBuA2I9g/YhFWAu13ETHBYzG8IgmB
CTbvKlQHiYMvhPrqVWHLjV+3n8I1botuCaOiNoLZjYrvBIi8CTsZVWc3NVkm2kwg/W8BjacZ7gp2
LnBILL1PiVrb8JGS8qD2Mx4cbj+mFVWr2yFCyxs7U3RK0WGXK4Ez5miNVRU2ZdPChMkqSN3G2JsU
TKzsti1eCZGEP9dS/HDqA9de4OlZOFtcG7n7TJf3if7r0O/Ng2OXXx5nrZhLxFo6iWNznfOczqQL
6j69lql8JJlzr1kOq3uMU7XnaFt8UqB0cTIp9MDKZx4ZTTGs8axadyUae6REjWadHJsnnItmcUQo
6G9wxXONw2vvOVpK7DppbEQcfkQXenPtgeYa6ZtRKGOjSFje+uzW23gAg1FYMYMEiVK0TxHjlxtC
GYug85YBfx2JCfoQHbOYbMEepwetH04QFxq5eK75OEbJ+0jsrqGM4+RWNxZXotcnbzGXWuVqP1Am
u2ujgf/LMCl1VZhUcO0k9G0QLqy6aMYmMXAsZ+W3Rz8it9GOxk1ljdAA8c4x5DHuxnjV+XNI+p9a
jzWBfLVdHQ1D3JD4GpRmdehk+mkRUpha0wFlE2JjoPL2vXCiB9V7txNxmGSbhqNnHlzC9KaxIBrD
IjBhwqbgp0FflO9dLm/aIjkW80vsoluv5ivylYua82etak5N3u5shjantoPSTw+2p1+9GhMOYSN9
pyXrSpMn4PlbUeYgSSNpFE9Ef9whrq9xgy0b22ueQRUsuJxJMjDWPUesZn0Lw0UcFvFghDSapCdE
7QcZkcgXoa9YivkcqelSmP6V23KdOP0PC80Mj7NPi7lvEeOTTFpE/n19TKv0LlemfzMho3psx07f
QDit+wUTeFog7dO6l4K0QR2VG55t46RluruKOKdW0vGPWZ89TH0MnNVKdeiT9BqJJtnYaKkQsrQ3
w2RCzY7L/YJdCy4rD0hpeBoq4xKryA3M2mS6XKwqQMz+HOcY+lH83eEE6ZiICvJs29WwfAe1Fg3j
++iHOWJPRDTEp8bJV5939T7SpX+u/IYWogGRHNXP3q5L81v4X45Fj2V3DPvae7Ti5cH0eXIiapuP
0eLuRZycAYb8QCsTh4NB6DFbYobuU2fIMZssh40jC4ZUUxZEy72PK7RUafE8kWgR/I5h/w+c/w/T
AOH+7+H8+8/qM34r/mLr/P4Xf8D5mmH8JizMXf4fmDkRmP+F52uG+5tt+sTsWXTjOjgq/8nX6fxG
lYRFFSCGPg+UHaz/TzzfMH8je8ynkpMyCKqPKOH6Bb//Ozz/r/lKNuofiyIXKmQoE9LxNfAn/HO+
EgBtquYyujqpZjw7nSgesKZKfPlqZHOzoDXfa7D+7T99Qn+yCv/MIvw1xuyPV0UlQh0IHwB6kV/C
01wgyLSt/OuEdZundJnet3Oc/puEtn/5IgQ/OC50CYGGv7y1lpHCiwfvCt5qPSN66X/kcUv289+/
lb+yIX+8lW+TLR8LL6Pjsv3LBziSGtiNlnctxwQpp2fG1tVCE78hiBdhS+X+m75K/MH/ZML98+VI
f+SSMSmv/DVIMM8M6S6ji0TBaI+6EvexNOxTP3ry37yvf/XpUUb5Xy8kfmF5cPESfIJXQRYd5kFs
hYgf0O7+/Yf3r64+V1hEWpIZhuX4l6/IiXsOrcS5YjH17/ihKV6hh1sOxdJo4exnRRFYTpys//5V
fw8n/IPq2v/8z3/8+SG6pkGDFkn93q8hmkVGJDF2m2tfCppwKFEkhGiAf44SW4RL7ef3Y4dFr3IL
98n2eie0RRm/p7ED6SUizEoqa0roab+FTy6MiBCUEiHm3/+V//Kz+Z3mo0bDFfqvF1bXja2fEYU3
tn1ImuqCRyizyDQmB/jLFIt/2whL3/39i/6Lb93TdQp6BGZ0OkN++UJmUEsrkeZVZYNxMAkOWS9V
lPz/35jQkd9dQB48IiznX2+ZTusmUrb0q49LPDCBGVdpN3qbv38nf1SH/fVbdnGs433nTvFc8euj
rUnirOua9KSWybU3nW3LZz/zivrQeaVXI0L2ITEKA0PjejKJPNig5GBdslphsF2TBfwFCxvh1S1h
AgGYLbJSJBlpLnr+HgQoIz3+5BCA7a8lVposIPzVucvlXCCwpFvvdsmqAcNGgiuTXJm0ecD23Tx0
+F4QOqm2+0qmfhixRns6mJMGywYP9u34M7VGPBE5ztiizCH7MTQ6X35pGXtaLsSwiXXYGEKm095c
OyZ7eD+0FXiYOaoTzjpxRVAcmWsyxfI3m3lAYaJb0B/iwDS2UKPiAS8xBsIZru2uE60gG7pqiMLp
EAFeM41bcItKkRl4lh10aC9t+eoYDZBa0VY4h+wWjjdoid8soQJSfqQdouHTSqpWC3Jj0D7i0VRf
7GLW3qsGN1vb0sYl4zEz3vM5+ntTVaW/NxYwwYBbLD46bV2X+5oWsx+6yFE7xdUQ7SvdlRqTpUkk
d28n6D7AafGsgVZN9Tp2+vyL9QGHWawZZrxJMa/X+I8wzq9SHmGwOYkNZxIzrH527Eb5GnQIssfJ
M/cQjZb0QrTX5mvFQKhWxJgvNfirxmLYeQkbiw0/fC9Su71F993e1Cg+hgBpUAGb6rA51p7mPXCo
xFt+Oyy21zjyxdPkePI8HOJr8uK622Xq7WOLdPyNMLASRW+WVMbW6VT+jOK1ykKMRBMBe1A+JzYH
7LYwRxhDk6WREV5qdr116foyXye+xPyX6IDJjeOwbGHFJwjEduLqLTWmBokw2xmMH16f97KP3GlF
+Hl9QzXZwNSe4zUGC00EeGvmEs0+L3n8YQNrEslPF0cexLj0PjBejD7uGDfdEPhjPrnNiPlqIYQl
W7mWFy1B3UrRwlca0U2dj2ZBoolk/S1tWZNzn3vyfkjzgbT1WnyRWeHMtxgp5NGMWTew2bfGCrM6
xW55VS4kXs3JIrG4G6TkYAHOUa0XNkyGLyNDCzN7oZ3Dt6SlBxJAB99GOdcqWIZRv2vpGOEW0zvi
gYxJmiQe+jX23zlWHrCTnrhf0oPtWLVEZYVaTzpOgCoM6ZDlYJpcF62eZRi1RvWRKsN6MPOif0Vz
mt670mWnmTJndgJTG8WbbOfiwXJL+4r1PX33VelN69Ri0l9nfp3va8XVvPfLRN0QIlNjSamsej+S
5aQC3ivB6CZs6Wrx7PJd16P4hb+gf6rIqEOSWi3uYTLL7/Q8o/Zf/ULgGaRjAgKu8YeyW1s0fb9g
Sl4SohJIZ4Km9PMcFFrXz0Wud6+ptYDwVKrMPmHj6O+IjGr6YZhZ/UHVHXYpCh7Qg0szfsVEbT0q
YcHV5H5WXbKKlEH0VTkR+ph78hQ7NichwEumbj3NNrWVVrnpS6QlydnszQQWgbUD955cEpxfNQlT
oSxbguHrSjTVWiMm7qG2pumHXnxfg0ofH3FDguXMPWm/KwMfFu8AF4ZOkq8lMRg70bVF2kEIfNoj
nlpoAki3JX3BfVDJCTm2SEntgVm0Z2CZySoCwitZ29hkjIxA/9T4kt1IZGbCY1mtYdtjf80Blg7k
hJrydmji4ipRRhO0bmsGIIJNQKU9DYJ90TZbotE1P/YJGUOmxsc0Fdec696DcmqKaoMY2b7tZamJ
ICZa8QFjD/6TKZP5fiKczDsrnuTNazl2NZCnhfMRIKTSDJ5AbV3hjgGOscv05HVdjNCdxzFRE420
S4RZo9tJcW+XHdrRWu/Nm6GzILFmDRH4Wpu+LYmaT2jmGTMYxAaSFe5cuzEbH8VHVUWb77tCrVwf
rHbt+kv7fdjFCMoaU85r0vnTYjNprnk0ROp+VTUK9f/L3nn0Ro6kef+rvJjzywYjGHSHvaRRyqZU
MqWquhCqKjW99/z0+6N6dkZJaZVQ73WAwaCA6u7IYLjH/A24hGjaTUZf+GtFJ2FGwyCn0mNKgUp+
2OkXGmY2lLRBO3+vzGS8VIXudGB+LYjALYSk312s1V+TznPNkxorSFTMIj380aZpfKNnSfcMuEA8
E38Dyx6ykKUvqiDoz1rPD6KNltOr2Wqlo74UMghgpuYStf6vTljr9+WINgIiLBDuTktn8JstHc9Y
XxdGTj6sBdU4rIIiRZwDuxJ6cCi5Gr/NAXLzRrOreDi1TGVG68GOYrme4IcMp0ZSxDOJrbL3SY2/
zmnjJBEsUaOkM6i7JdD2rogTY92lqnyMosYeNrJx00dqVxTzOztqmwvPZftsNNfhoczUvLMUVSZ3
XaaFZa8U/B4qhgPpPbxR62mo+jjberK36aHHdVeuXeCD1MatBs8NSJFpdzKodOY1NpBcwB3HhbbV
I4V4h2pbi62oD9aAXlXi/TIGJJ+bPqGIieABZwcYRNmcEHokHnRvj14I0UxF691F1GmtcPrxVjgF
jj39lhnEThkWrQC3zTtatqQVzaoHzQi5jzI9cpOx18oNCWqMqm6a+OUa6QOeeavy6vJKRxaqOakp
Anc7r855qSyMkaJTdHAsjRZ8jobuwFPg0haOo+EMfrjxaBOZneHnhRwVOOXqG1zclFY2qEMk7WJK
rJvOD2u4HJpXufepoXh/rpGHhO6QAmr5MkFi+SHLvkPY0C1H4pOp0dbAwL2YR8hIQYiYPSqY4DFq
ZoaY14QnDuahYCMT1PTw56UOrAyLwMHou5TP6XVKhyvQiJT+NvEeAJAshO5nK3pstdEPtHQiX/Sb
yvDEn0MLBeZUejX0rgH7x50EQzvchKNByZ2UPcBcKR8K7RSPkPTO0oyWqs3Y2wjvhLA7AFe6uezO
K1PXgwcKfvSXkCpx0x09fjogLY9IdpKAPkYyloMBfExveNXqKnTCXx2VS4QE6R1I5OiFW+u7svNL
KnFuaUCMllNTDPFJi31qjL8DAjZDnJ13EG26s2FSQJpdFzXONTAwI2M7+MVzzYeO+QnIv8AKysx8
jVEyNlhQhBOBisQoLlvUYWHCEKkAoBZtK9ZNWoCTnrSSRKxpEGWLBO/rKvWm5CGe3Ajd7mHSuJel
UBDTNOLswQm0+8EUVnWRWl3XnBWRG3ebCW/Db7hM2MnZS5z/n7oTMFKKPv973eky/Dk+va46vfzz
/wSRmn8AKYXMKCghocdtkWL9BSJ10edmV7jYXFr8FVbS/wKRGsYfNM3wINTnotKME/1XyQlMKhpj
6IiZ5l9/+5mS02HFxJYUswRlJ4MUE0NK/nSY/tWjgaQzJNvV0NFPcRv0+7dOpoU3tvCrO7uyhptX
3+WdatNhzcSWFoppOraUeOIC5VTG/Pe/nm7DzK//6x/i/5u0hmKrC4BXQL3dVEJpm1pqP7us8k4+
HmkJjiXLpJrnmmTrBpNDrG2RteuKh8Vp5gimgPgktkkBJke/Q91QoxkC+gLK8TqwpRSCEtEA45X2
barHVSJO0sqiAxGCqWniUKw9EcEFtiC7UdTt0dshQUBLUpvoEGS5bl8mllHsbQ2JZo+OX4h8l0nl
onGwIkicAbNGrbUS49IdwqQ8Q/MGKYxAFC33tJaK/NcgUCU5MfPe9neWPVmsiNSHvDwlKeFZzSKB
uRp+r2g6JsoB+IWsYqr2IEzS+ianu4yCEwTs+Coq/OFXW4T1RRVOhf2URkOurhx0sW58M/SuCuC5
vxJAfeEaTU+eAVPWxThsPIIVRRMz8usG1yE3TvLrJNK9q5wsGE+AEAVWxHq4eIpxY3lQaNEiF/R0
Ls3U5rHTagPSuQg0KyCuHmjons7b+5fvdyL5nmlBY8Am0FBsuhjGFmX0gVIkdpmuN6biwgnKYRYm
G1Ax01cKxSGImb60aiJMPQKuYWwn4WRq2CV5GqOe1WBGEUabsi3yHkn5qC+vTF/LsnuHuBIsf5aT
4qLqVeqdjiDYgHwsIZgx1MnaDj1E/LYOefTUnLi6mQO5wcsI4sWKZ8WAY12TU7kGWg91NanzKNWC
wr5uIISm2FNpKZpWmwKAdwv3o/dS4KypUmOB3FNg2lDCmlJk8SakgWCn1xQIyY08ZEDSRz9yo6ne
jgVy+Ztiopv8lGRaDkrHxV5p/MIEJP5iRVS3ZobsvKorbPmgrGI9hyaQ6fLaCMKVWxsAcHqThpq6
9hoT9gvuzR3YEDVVjyhCsInKrh7Tk6KS8D1ZR4SnjbB1TWBCVYDmPd2YeDNBMkhPu7gaHYigtuef
kGdVv6aoqKdtU7RRt5v0wvC/tlWa81TxX9NpX4+AOv1rbdDhvnTSSzMQebxEUCQiJAdLm44qTTIX
gpGFUT1FHA0++47gNDw1+npKN/RzKC5iZwFoIu5orgIU54NlIL6M35RQUb3pa3StSZXJ2y9xqSyT
i3DsAoNUWx9pK+pqCuieGA2cWK8s5380GeAQS06F3FuzNSyRQtBb5lZRN5IbQIGxfhqBt5zFdGyr
eNbzRMWngABH/6K2ULZb11JUP+sWevuKHGY4C+mT6+eFBqJu7v+CFJ3OK4CqTbutoexXqF8hF992
J95AWJWe5CZeiesmhoO8Mw2sUtAFCQqxq2udyJKUZNYdCsbiVI61hV+uVcTpxgtN2lSBDFC9bQuN
CEk3yzo+QROKFLuKzOwUFgCsNR+z0XSFiKCLnb3WxO5N7BZufVoA4rqHYSj9K4+DjMZUKVtx5w/I
09VbLUlU9DXPvcE6NZqhANJvKBwAo+9DpsFHJKMFbnkFnR5JIp34IUS3AmzGplWzeoduhdhtGlGg
FZeIgenBGeyHpNzR7Q5+Z9SrJwojZoqifRKDq5Zu4M8IEFp9+FdjtiASJNBNq9D6Velk5UU8DQ4G
YzDxum2Xtma3kTwI6SYWYTvcsSt7ezMGZqDgRhPpDohnJz5dNjW4XNbfqS2CdthVhauiCQygVOLW
C8Tk0Pt0hjH/EWSAlOR3AZ7QZV/2Eae59jdpEeLztUKjU4LBwkjBafvffpllNXIonfK8vP7ZlaYH
E3FtjJ2m+t+DJF4uH/4THzXjXMenCfbqdd48NU//7xmD0mbcP6XP//WPq6ffT/5T/eupOgyS+Jf+
CpJM/Q9lC2nZtG9oRL0UiP8KkhSREBVjZdMPEzqvOBHDPwVX534e/yzhkD27n1gwHf4VJmnS/MPS
0WrFAhj2PVryn2rNHdbiiZGI0uT8EyxceOc24GHY4hRe6wjY1DCaE/TQHM6G4kQeaYYcthkcrBNh
DdH4MxxLuvOcF6PQu0RjIsrWSEJeBHr50LXdI8R71PaTYlUpHrFXq/BONLacFkMRiGGcxLc16WzM
4eGraGygWushWF/Osqz6NXeTt3Mp8h7pnrwZRQqaGFxSkgRLQIo6HCWK/bRHWoIitR5AEaGsslO1
oY5ElvMS/LvFwMeTwnYNEmOUe21TF0t3Gi12EqIo8usUT8GpqvBLxFZFhXMd936Iol8oO1ZHpnYY
P8+DShfVI+YHfAPNrHnqrz7gOPl+09caakpEPBvRWohioYOzNTU5XhIXFkd2yGH4PI9nYLLOSIYu
SQ3mw/B6PBsRcs+xqHtrhv3N9nJ7w3BgGf34c3bgLyMpHV6Zo3CfsnR7MTMPMXkZRWhYZqj8w11U
tIeKNjkyn/m/crhoBh9OSJ4KVxpCLM5VF/cRtd+2WQdlADkiGktPYzOW9XBkoDdHS9LS5wzrFotl
yuVOj5Tb+VOA1nyCiMUagGS8czuQNA6X/kmh5fLPumnS04+P1zurRaojXQqYEMuRrj9cLfT4rClv
Cd4aieKbpQjxaXloJ1lZuEc24vJDkgpywBxHmJJwwF3uft01rbanm7SOEAre5bljnHnEpkdGWXxF
Nh83FHsdCAWtSdhahxOqzDjInQ6L5nj0bk2zUTvP7y6xj0FzQT9zY9c/smyL8zUPSC+arNkmOUVc
e3EjmpOeFcNQJGu9HS+MwDVZNRfj8kLmZyVu20cW7L3hJI7x7EYOl7U8zmXdK6ek94GfjGXWW93J
aCV3AeFnlyC3v24VehxHvuli5ZiitATbg7qVVAb1gcNvamQWZOcYDpTdW9pZoWCLl2b96YlJPqBN
IYKsG3/OxcIFwi9rEyHrtT309Zmvp+qMQDZC/7sEi9fTev945783qfl6stD5YbMs100586Wf0ofl
0EPttgsw/66v/Y1ZOfMgc6uVrb9wcswM4N2FcKgvx1hKe5mWbHIEyxHyoMwKEldsPz0r3jG2Iutl
zmHH4VLZSmsnjnS8nryUFp6j4m0iEET+7CgsEUEG/5ujAWcxijtiZGCO6EmUKKRsmo6mVtzW+cnH
oyzuJrYde42AgwRXoGW/LI40dExDZxoT+sABODn+iKoedNXGMLwjE3pvKNPm+iVUmy0RFhNqJFbc
U28j9DQlFupvarirhdvTIx+jp8/Pii83U6sdaQDaOlyhdgJZWUzY3yBEd1+gxX7RhbJF5bpvP70X
Zvn9GZpBgY7ncjEpT5/Fhf0g5X30QZR3VquthzC3/8aEuNvBlhHpztM6nFBg5HbfgA5dW5FWX02a
Pom9bEvP3+vAFI9Yzb49tcS582PPcw8Y5IVt/iqa6Wd5ncqGoKGDp15xurorPfedv6rEBzT2/x1w
xrIYxILCMuDOWwpOzeLUppBezJEjSnpbVIh1Td/VmNhHtvc7UwGqZ4AvIlYylLm48MJORChTMoiG
5/eW9E9d+3Ctrz693Q5GWayOLHysJlIEcjHxCk7pThqrqSnbbUKr6e6zQymCCCkdypbsOLXAgJm9
Noxlh2eRiacQDBvXjDexNKPHxGm1Iyv09sBSpeaCk4j0kXQZixWimY2copqFvMxIXcQ2BgsNRc0n
cgl15G54u07KUvPbJAlRGGvxBWmqaODRGSrnXt2a1aitYomE18cf7+27DrLSmFGO0iSTMxa7IYvs
PkFCFTqHX/jdlWzz/Buwfae56ICswMOUWuIc2YFvxyQJscgYTcI/MsjFguHamMo+9yHMCjDrHriA
jRab5iapKXsqg/LRx3MU86q8iqU5V+Z8E4GxxJ2EfGQxYM7qiABhtbWP8iAiaEbhUkx2C+QdGnd0
vmpgrOMdpeLZYKtranTmo0L/Tv23/tYIh14iuoxoFRQZnbaV5QbttWrdFAQLygjJDohCjau60qyL
SRn+p7CU86WAkAbB8pz6YpuhL358hVE6QGyeox7XjmyVgNMpSAom76eWeNDMPv5Wbzc4Z4kcG3kO
rjs+2eGtWlfYGFSInKGXZjfjCf6eEixY2VRQDmjvHxntnZ0gdBxl0JuZUanLsEF6aN+jtQN+EkW8
1aACCPlZlyC3NKAfiURokVdfPp7g/Pos9oKYIbAml4XNnjcOJ6jD0Au02IJl4MLHbK3ncUJnG2/0
TVgivKRUf/fxgO/NkdNLs4SABZTfYsBWV7BGSp5DWDcaMoPGI62OK1rI3jpOoKF9PNo768fHpFJk
Owr7E2PxzBtJZ9ga4L21T64SrrSmLu61sYzPIhUa158fa34Oqa6/tMoWYzmFWSHDA1sYaNywhc6j
XaTokZ0nKVXyj4d6Z9VsDOX5erifE6wv7t0syHzLoVUA+6YoNmUZ2w/YweqQvR2xJYWMtsgB+0fe
sLcrh38w0PaXAzifvcOtkjtIbIShzlmwanAteDVuTb1Hqg2VxNXc1Dz57CQdd44tmKlL23N5L2pS
gzkHWIIkfOh3TocaIzY1VXuZBL1+jlTzcIMtkLn5eNS3O4be62yDTJuQP5iLcK1WI0YhUI9pQk3J
bip5yEogC2t438c2p/Pm7HF/AUFXhDj0Dpcf1Ihc/GhhZ64jmUFgnkaV3pRuBV7EyKbsa4LcwV1c
Q8dchWPb5kcum7d7iHID+xXk8EuVaDHRJCQaClGRXNtV1VxhdmeuS0XlEnuVPtprZhLde2ZqHovx
37zjioIUAF/OP3JJ3DyHuyjuynHMoCXTUABLOuB1dukaiCh/vIrvjcIdCkid5iD4/sUtM3WTHPUy
JD9PEem1Yyil+Oa1R3bom71C4YuDMH9BFyizWHzCphmqTpjEjqIag+0ckK3E2LBcQT/9naGoqbx0
qLGjmQ/nq4g7mTC6Sk3o7DLtrVNpNcNG6SP0t0gbdp/+dgRY5ozuV1wvS8uwVACFCSX0TYAyGDCj
35whIoNA6ZEN+M4asQsoErH9qXktw5Be1m2EWTSJUQ2kDa5XkPywMBYbj5zoNxt9XiVKJ8QOABiI
sg4/na8NFa1xEyRVKUPwRujhAkpCeh1WmNDOhhznhpNGjsXfmR/3nmXOPkdIQB2OGxuRGVkZ+IHK
hHNQeVqEUL4B4/dvLBfx0Jz0Kcwc5k36amf41RRVtoW2IglIizBGAe11rVEOO7ItXko/B6EC39HQ
BYfJdmiWvJmPHSNqNbFecEd9Z9xagX+PliDIIjM5y3WkVMEsJkhGY+vgtDt8WOSRQ/Dejnn1C5Yi
Zkgb1nZrAQXrW80CmN5a2WOrJvP281/09TCLh86qYVfRikU6whiGq9R1How0746UpN6fy3x9wOOa
o//DZcNfmLa+N8daox9XJ47u4yORaq5+ZNne2/0UHyxUCtj+1FUOx0HjrYvbUqZrMyqtVa8GcYsC
ak9ViogPBUS7xHILaPvnL+C5OTcL2xHtUXE+HHZszdzVc4ZVU5i1NH+j6THxW+NI+PreDYyiHYkR
pXqBJfrhMFY34m2Kf+baA0uE/D8ehKPdUGZROPCMn57TjM/iIM8VdBLrxaMiQ4y6e5M5aUXfrKY8
KLAMQejq8yeacQgiSeINquhvMng8Q1sF8hjjMwfgJMBpf2cOVXgknnv77cjcMYbUuROBWi0zKTsf
VCGVj7NSPWLPPiFF0QXgFAGzp0fuqHkzH14dhFSS3UcHkSqiWny5ZBw6zSKVXAd96p1EuVbuCqyy
rgNL5KfwCeoj9amZunk4oE32DlBNvNAIpbO4eyOzMEcIADDnI5jw18hjmPlTQnKJJ7qBB/KXwCz0
x8xGVnWLa00iv9rR2NpnxAwI2H18nbz5zrOOI+UYoVMqoRmyOApVhvJukXcDCjwlDva2nu50ihlf
AgPV/4+HYpssJo6KJJaf9IRRnKbPvQyaPbAKXuOFNuKfINlRas60zkVyRKn6GzB/jKQ2MD3KFk0F
hQRcjymmM03XkLucZqd4OiL8OVFGKNFfCZ+isa6yTZjOLtCQs819QqZ1a9JZNM9jLCCw5yx6MWwx
vzC+qShurIuhTAGblhVmasi4Ifr6gA4N5jp0R5Bjpf45Ee4Z8CFUB14eNTmJXlhqZTpL4w6y7fdh
TrnvFjHHmf7StIPnYR+CsDtueGqYHeAxJv+pXPQk0y2vlNMXQNztEEYaysUGqiqhsAvjJ6ZxqT2u
R6BL2ZcxiDW7XOcwjpJ6JZwqpQLnVnadXuSxzyYAYWwhqt0naK1e1VgbanhwW3XQbksDINElrDcP
jTnXrTCEW0Um7vQ+1L6pRXnE1Lzh3DadxFtHmTEOvwzHR6JuNQVlD5AqGzqUpv26H/BNx+I+ejQG
I1Coe2G9bN3aXe66qMpVmXmTt71rn5SjZdRnDQss182Yu2JrFWrUmbpCrRDemjvbGY7AzfcxtHsY
7nU34JIXl+V43U9Voj1oPiYkFx56m909sGQDmY1Q6ICNg8xcoUA3Zc9QbcfnKG81VAvbHpVKJwgt
5KSx8JquLBVH1ZnEMa7F+i/HNTGMKAR/czHeRMqn6y3wjb7n/1YEVbjuTOgU4ytdon13MYOyQ39D
MTAIHzUVoA4A0gx8F8RhiErZaNDTXyHnH0Q/OG1Y9XmlmXl3HgYb1rkwCwe5+FgO8jveeiF2W1lW
zdD8AOE4SiBhCnAejV1oZXFWO+kqDqpBv/WDpvWAkCFsc53FgNCxDi115gP7788Kgd7nKk8QpYFW
PZuXt3qQEBAWdrDtY9tTJ36ua9c1CSne8nUfYkqAAQkaurUCdiTHzqyey9DTvxtGUNurxOK3rTBG
QO50KsOsxJsl6y91FKBQ1MGpYXqstK5scKQLWwBTXm9Dz04JXlYCf9VvskLVfCUAf6pVjYxEuWkp
MrbIW/i5v0UWXmdvT7FtbAL4wr9El4JSMl2kogCJI+KxytwhctiHeXRdN5H4pcs6Djc5OtYGks7a
cO96mVOdgT3s622AHuywDhRWsesYHBUOuElRmidZoctnH3RctHF8aYPiIxE3QeRPQ496edx8tyNQ
/lf+6DDwOFnYcAEEsWb7eW3Mt1Wci/uiVwAFc5W7/bldmORcVRAX8bnjjfp4ovrM/9XnpClbmc64
9kxYzQ+IjWbzAKchbNcV5EcyXoB31QkF4PKuBic7XmFaglZp2WMMQO11aoAkVh2SPPsi1736BHSw
Oa6S1Al0VPS61LsKClwt1r7XOPV5VGJAsfbDyLifcHkJHieIhSxGFEW4l4QZ/XW4suqBiz94LNzB
u+XuxtIdbTorekBEI+O6QTB3Ou25M/+sdNV8N/F/Gy4oGkTf3a4O04tRR1liBdnCGjbE4Jh26ihs
PiMWIx4ChBusFR2sBuCsLzttRxEdy51+8HLrR5d3of5lQKqtfkyLUb+Fpd1c46xA8ajHyHC64B7K
riEptQkCO4Wbn5oQAaY1taDyrmg6pNvBFDt/diP8lrMRfe1y50atDC+LQOjf4YGY/g7mZ6LtQAb5
z0YvRLFqndrt8bsokQdFMq7AfJ6I0TnBYTeKLpF7csW56nXzETnw2lppQPu+oYpXYr7pQxAoOeyD
E56Pvu5ciHFMp8uiDbJsU5s5RB2n9418DXAaCRPAugF82T6vjZsUBprYxCWsErzhJuVsU6fv258e
7fzyChFwu1kZbdAZW+4Su195NgYZa3z6pi8ImVb9j0qv9R+O5fnxA5CnWFwktWap01EFXPkYJsM2
c1vRyDX0Mw0umolY6Enq1AU2x6M3WWLja+ForvF2Tv1viRjin0VXykdMAR3vRAkNS6/ISAR3Q8gb
UG2Htu9K6jGGX956WlKn90lsVO4jlM7Q32Edi8jnkJOKoKBryFsDO0uFuaGnogsINQbcyKCCaauD
+Y02dmlWwaZCWMfbZAhVZdc+go7Jo4XbvNzFbuJMlzYGgu0DZqa5t+qLglcyDjBV2MS0CR02YlQ1
azdANHXVdJGm76qRXf5dS9rAWkcNhpkgZ4f+DDKhjtChE4LnBJYTexCY8zE+zVIYsn9WdPuh2LRd
+tQHtv1cwvSufg1xLwBAdUAJtqGWw2MGblwSJCAJhUagPswSva2X6O4XbitQtLjX+8N5wRk11mim
RcBB26HRUZP3k8rDUs2Ch4mWKH6P/eBY4wZNLafazX3+7jYWqgju0sJr1JnI0drBxtNpVYrDhJ2l
9w7muC7MZaRH2SVTFOZXVdD38XldVG6CUQHKOetucnCyXaGhWVaPmdZE6Au7DZzkboXxieh+4OKU
1k9m49f+bdihKgkTyxk4QiFSAfsy9R0EabyOx153G/M8BLYRrgDOj9PZaHWwyhCqMgGsIFwcgxiw
HL7wOstxj/tKZAQFDEEjGKCnA5wlda/iURfXVUot8dFq49q/G/jSGP92ZZ9cVwq/gBPai0G3i/zR
QH3JaJPHHmmP8XbEWGsG0IJ1/0m3tUG8Px5ViySSLPUzXcOIAnGf1gbdOuJnYNbhWH8rwNF6awl/
qQKS70wXkT71zmlmRxTPB+Fm8MBqzIwQnEnwC6rGDi074YSiuMaxBHmrvuhZc4jLDQdzFeC0ov2A
AKj1OwFVu0eQmBEuYUP29gl5ZSKuAN1myE81A96PZadH8mTG1MMc9ic53Pi1FsuvnWVoe0Q1cvuy
o53b/CpcxIOwTxxzqi12rER9F0jwI1CUe4wkG80uxA2eNZGz0xvlPmmNrtdfba9HwUpZBd4Pq6HV
WnPL80RFVNOiXEFT96wRgc2mx47iqfDHHunZ3EdwWIzp+PASTP+HpPQPRBxe5RVvQLi7NsyenzTk
5eqn9gCHO/97/yORY/xBMxZUKBmWfMHi/g9bSRPWH7aYGTwzQoB60Vx9/ScSFx0car8ObTvHFehe
vZbI0f+gCm4Dk3RBpgFY/D8J5DgUHUiebUoPIHHn4surmthQemMnvOja10k711bdGEgsYqOxI0TA
UGfQqgdkt8Ux/Ooi7ZwrLA5Hgmr+DCSe873DcdGcyEsi1OuZDorKemeiaZ3i8Fv1l1aYPqtEbmsv
RHDdiL+9WqGbv3Lp11iJ94YmU5IWAFpwVKDODofGBqdM+rLC9MKAxBcViH5HbjaduFGIIqUq7cCH
3RPmJ5Pf6hqAfavHTcSopH9y5JfMyfy/k/2Xj0ClEKcDidmAwe85/CW9qH1LjcE1VK5AwkOxZLLB
cAuhhX7yxay5Nolqk1iZ+NnnFcF0lJYeMt8u2rZr33CCCxkhxrqyrBpJu49/3GE17K/fBq2R/WrQ
REZP/vC3ZdDlrWFy90HU8t4rev2w9LsqfRi53sYt4kd6ftHJJjuGxz3My/8aGAwLRDqgOWj/zb2g
VzvSHB18lZDqxQFXYjfY5j+H3LU2nhzC80Sk4rFLTftGc8v8q25F/vrjac+Lv1wSYPMUlQDT2ICe
D0dPaboCU3T3kV8FX0NraH5SeQqgikj/SLnxsKz5z3liWmNzBkiqli1sIwiGctK8vRcY+oMj6vKU
rEccGeS96Zj4bNDgmWsryw4FcFyyJM/Y+54qoLn5w8Pg6/q2KZvm4eMP9950qNyYvKSAad5oHSWd
NJvQiK9bYbX3kJbLa5vk++zjQd6bDq1OritBuxNqw+HqtDGmpHUSXmcoD6C3aAbpma5KdRvh3/Jp
FR/64JRKZ7wTV/DybOY96hxeGF+ramq3XRP4yCn7LXWyj2f03mejro2Cj6nYbstWQeP2JPxxyMeK
p/sIPjKKwri2fjzIoiHxstegJFO04zQr7pu56vjqTPVF7hejE1znIfW0TWnD/DnJvBqnZ2VXVLvS
5g4IlKlvsqGR3LwREkLrqoAesLM8MRhHfs87k57x9rY99zdnebjDnwNkkZpt4uzrJqvOYn/STzst
HrYfT3qe0+Ikc7UKStA0zmauy+EgBXWrCijuXsquWEUtloVtnj0GSfxzcKsjVdR3JmTNWGOTpj+d
Yn1xZ9mNiZaHOex7L/bP7NaDYonn8rHnYv6vLGZESZ1tgmwcYLJlExUqIB3WRO4RaJfnaW0RV2KY
ihmbk9OQ1ut16Um1pbRH2Ud6kfnNtCZtW6nIuJxaDaH8MPHuy7KJ7iQa8Sgb6xWK4tiQ3potviAf
f/75KC5/LDCZGfVt6OAvFp9ftbIo6WnuLVlp11PeFT8t34RxMyq0d0iMT3VSsNuPx3zn6eDd+PeY
8nDJGypAbdSofUS7ABO8HieUAE2giwKA/Sow4CqvsqSxOwzO0fywaks70mR5bx8gW2faNP+AQS1b
VW2BcTKXyt72mgFRkqq+GoIgPLLZXogHy09L9AQSbsblWm8Y5rmADdvoe+IKw9i2FIbbjQwE8gly
crtvJvzz71pR13etO2tsTwa+vwhzONlWRboGd89ILABF9NDiIwdbvPcBOHQOlzPUCXf5eE8I8hRu
qfZza4hWeB7cgulNfuJLILdTXIVfS6PPNqKuDYqcqTl8w0JYbIOwC/mT696E3iD+TNKmP3LNvsST
y2/mEshAyifMBsJ1uDUoELmo9uv7FgjO+ewiRvU+7rrzuqvVKTTT8K6t8J20cJ2+qNDVeTTqBhnX
sKxHgYqaLbeWX8mzocji8yzVivuPd+67343ONKKXlqPedueKtp7B63utMrNdnbnVCpnU9kgb650b
ETAZTQ+4+6zR8vX0RwHx0+/2aSG6eFM2qLGneoQS9kSVAUI86scfz+q9dweQumRGbFUHiMThVy+m
roeMUu9RSGouRINgTR1H6kdl9fKmh57vkocHsbWiQCiuVCgwdDH17s6jOvE33hyO5NxmdXS6oMve
UpxHOeAZfLd9zdpOYfsnui/JkZjh3fkC/SKao81K7riYb5NJw4uDGr9Haa772dolqGqU6XEZvw2p
KfD0BnVJIOHlON2MLpovEzCYbVZV+pFv/85jYc9hCyBdXgVj+fxVTUVBXav2PSVm9JTF92Jqn3tH
/+nN4tko4NW2ceyBemcX21xvNHwdOuJoPBwud1w4yAvkGOf26DBrRYUxEkLjayXcZoXf/BkiOD3T
lpdDMj0ivLWHdP/FHDFQE/kPf445Pt5/7/6e+SJiy5tEG4tneTKcsnObDKsFvzpje2fYZpifg8XP
sdWM2JtxK3MEAAzvcNLwoqse8+V9Cr/5IdTxeAYybH16Ji8MXraUoxxHmcbhILkYk7Q0+33aquqX
0Vvx+WQikf7x55p/6eEdySAgwTixtIS5IA4HyTQ310yr3zd6L6mdT1hn0v7y11Fnpsdob++IlJKU
wI2gvqFAUNmLvTJa+KErfFbtJMQgWznK/xIMZvjVqIdh2lIQpSlaRMaD7qXt2UDm8jQKGZy7hrzy
6wSommZ3uFNiQVSXq74ZY+w9jbroNx9/kzfVAj73Cxtqro+AHXpzb5g4ShueRNdv8AzKaa2YNrrb
hRe4HIa0AmszBH6AHpGxsqCt8v/NOJ769KuST+6B+ZeQJ3DCYArOJKPD5YmNIUHUY9zjz4fFhGmj
NqGH+pEXfLkHGAS8OwQmxR1GxWoRmo+O42uN3+77rIoBdkb9lUXFWo1ZtD/yYecX9/VuexlpznuJ
YCzygMVICGAYfcMGSPGo/TJpVgRzVNGGRI4Ba3Uayyt6hIiR9sGXKuuCmwy+xjM8Vve8sMvp/siv
mQ/QB7/GXeT9oY22vcybfahA7PKIZDel7NsbOhNXJTL+WyRAgocEy5GkHafzws+7k9EZxKlt+bgC
5VKLj4H+5vl/9IsWBwTRuZBWWbWfek3H8kGI315SI/IHphjqA6aEtOXMbRwjDiMKTME+/iDLq3Ne
HVjEBlysmWruLuIlpMOcNjTrvZ3iGO6U9IxQzUmPDLLMEV4G4apxiQxAvOjW4Y4GXVhWScwWKBp5
mzeWd4IK5RVYiB3bG+vdPhsuP57Wmxd6HhLNbK5rey4iLEG1CcJ/k9uU+7p29AY1ZikvcXmZ7hw3
R1FfigY7dQlDi/DACW8jsESCvgyZH234XLhHTtsL12y5yCYsS9iJOlzSpVI4Ii2NCc6CjMV3L6Yu
pZiHpwWymF6kfeN+Eyu4FvaZm6EOOrjIlLYhjlYkBtlNjo3F05GvM3/wtz+Hgw9GF+6Iubhimg7l
YBR4sQXA3ngj86D+LsLaxj6AqDJa47vT4yMz1uV2oBQU0oEsrGeaC015rhWhizGTcjpgE/jC7yK0
5DBhTHTRnSukP5+P/NZ5/y9/KzRVrkQuQ8Kcxf3Bq6HnNIb39MPwrDJiRcudtpjDevXAfvD/ajSK
GH4doE1Y681NC6vw2ZiQ21yxkql15KV478TMRW00rU2IKcvXs0raAbuRYi+0csJHq9X7nSWStvs7
WwZ1Dri5FoBgLs/DQ4N8D9qV4TxvA2kbxMhEtI5dIyGoijP8b+I0P8Nn57/ZO4/l2K02y75Lz/EH
vJkiAaSlSTJpJydoLuE9DtzT10pJXdG69Vcral5DSfeKZBI45zN77wXTfbTlCvAuybUyaFqjuE0F
S7krIQe//v//t/Fvrg3yQuj80ODhZv/9m3KHDhS069307uKxHzeL80i2xzt5Wf/kivk3HzPxEIZq
MTSlW/r9oHYSYeaiUG7qxZn3ZlnacE9a5R+OiX/zHjBlRC5JGAW7l99VeA5FOZGR7k3TSXMnxCyD
inHxOc9J+YS4Vv2TSf7fVBkegeQseijAsNr+Xt9Vq0AzMY3oqfT+Ve2agbiNaqoaf2LpW7HnBQsU
9asHfdfLRgg5hjYt39UIifsffpOcO7+/WNRk7JsIlKNPJv7jt6uQ7imZpWxuUF4R9gpGCf2QwZ7h
de5W79UyhunJ9iy2EUlO9fVlonFSNwpzpf5+ZnRlAL8kX/cmKwWeN7a90BlXkXgSPUW85ltdq1fl
RVV6Zz0sbaEeSB8m09mTA5+t7CwiY4u1RGypI92/1dYmf2wzq/1iHwCnCoNg2Wz6laRZn5RZWLjm
rCRjSGSa8gk7ND+PaUeyNUlw7dfQq/FtPc3Ll2X3sRni5COEfEoLVtKLtRj7uMzn/mawR1Q8rbTK
r2UwSHAaGIZmQW2UEgWw1glQ8XQYcFJ0ISOAl3LZrLqef5MxDUdlGjXloSVbnZAZspfQblC87POs
nt4aRG7ElunKCuc4z8loc0bDeNegdzU+sDUWXPG6uhBxjRrO5mDouDZVtZKHOfOk9L3ZkLuhYlul
kfx7lZwuJKYx6GF9TWgmaVUaAZp/pmkOf0RrgitlA0227AjUmaDdwdcnbCQk7LsKLn6PcPhtOdbE
dWbjmORIhf6M86zomtk+/5nziZzOukG6SAjogudsjoRUvPneq0Z3C6Cd9E/P7Aa5669JolWWqlMw
XLVsSBZzwkYHQfaqD95xrkkMn8rYF2633pZGi4dGH2yIw0ON2zzo7GLmF0gwnkWeM6f/05BNhQwQ
0OUXfbQ6GVwFRLYPLLQqAlLdVRe4om21oTHExLWPPb+dYPXi7ow2hWuTdFT9DFZJ127NfnY4A8VI
fmpp9VoRriSRdTuNX+5bjjnSJUMk6WlUE4j2OIsG1o9XpQh5n16qkSjKLFesyvxeEwG+Hiq1XpRt
bIruq7bzfr1t06XC0LI6A2nN8VA/EqxVE8ZDUgNptkamaRs71ax7FHj5Q7y2PEHqUrQwwNrGrch9
nUHu1J1XxwGrUJ5qTzS9isaYwD1grAZBrPVSkZ1bdgaxu0nDKHUzzgvuKklOoEfAoii7MCkVE6hU
ITMZNKCQP8whGQg3MyrnsbaX+WIsOlFqZpolY8TCa07gO8z5BU2qy/2o5hAv6VrH+1FM4xm+sW74
kqsffuHs6d8YVRst6kZPR2eSjkfHMpqtUUC9K6YRkUuMRnUPjZhY7dYDqzZNTfZkOwu6CiG75AII
RTthKVeOLaiLygd5ik2rdBtp72ulGi6D9NK7ecCjhxsobYk1Y1j0PBAUYmz0OQFtKdcJDehK3gYR
f+Y4yz+v1P+VL/wfrpP/5x7/L/KFmw9CAQYKrz+Dxf5IHbv+jT+FC6b1L65YIhKuthxmHNeL4q8A
Metf6tUkpGKy+kN4T3fwnwFi6BaoxvibV98qAT38t7/QPjAK/kVGqc1SmRwO/ist7P9AuvD3e+r6
hW2HURv2Sg+/Md/n3wshpdUQ7OSAE2vDS7YZzcxJ2kkeYR36QvX1T8lDfy88rl8OpYJB+AoVFQ34
77M9c04n5KekDA09kaQ5WYOQ6tPuH67f3yqBv74MCd5o+rh8bfO3EjwplLVVisHzNWRnocPle8jJ
+N6QXm0clyzOCanuK5DNQPdQS7jjLe4E/Z9q2b/Xc39+F+Sx/GG258f93ViBGl2VczOxqmm6+jMr
1PjM1b2iYfup0Xx993I0CYgu+kNpw99dNc6WjLzPjlFm3tzbTq6/WymXrVbi2d9mIh1/dWNZnKWF
zlpauGrWeshP+N+5QdW60I6gfjV744B5dhNPuJGcO3Mfj+NMyqmC2L5NVJGHmYr+ujWy4YtQSSsJ
7dTh69MTR3WsS9IKq+l97ZZ702vErd2Q/ewWSR1BR50ujqLD6Fa6LChHt1wR9E/dX8b0/z1LOEt4
Af/7vOabj+JjSv9+lPAX/jxKDOtf7IJoWK4+WqJQroagP48Sg+OC0Snrb0p6lvoOM9r/e5QQ5owi
ifmAS6DZXxKJ/zxKnH8RtMMkDOMKkWrX+KX/wVGClObvTzz7Kp52NrfU+hxP10Hb30+TUqB4XvV1
puZyaXVRC7frqUfPFYlc1M9JpQL442eYwsQ1u4hZnLVP8OPcpx7A+srVy2Ovd8XFJkc3mnOlO7Sa
ugZV3Gin3tNgrdgEosZrjxXERO9+IK253iNhJfvXA10+tUfWIqimS5jNMHTLkXC/VTwMaxXyzTWQ
tUc3YHFS+OrcPJtkzfOdzEyGWvNQ8NWba6D5NN0Z3WwFS1MBHPVgjMaEq/pK3gBLXsaj2gEFsjXl
R9G9F1nnUYy6oUd2vF+IQ2YeQnXSmDCpFbs5NIiPKTvTOlw9+I5j7wZL3l1XyB/LYvj5nFo7qVOm
xKbN12+JSC3zyDPq2wHHTEQ8wgXl5zYGmUGO+q4RYLazIfC6ZQcYOt9INffCcep7IELJHaxF0JH9
GiS6uZGpfWMq+ZNQwh54p1kW3p1WpC8JsSbwfEDHpmGdmyBymneEjoNfDnbiZ4b+S+3ZfhLWUAXq
YC27xdIUwko1IunbwtgTVAvzQngMU8DATnG5W8rc8NMqyR+qDsBknX51qlEec89VQkX2oLlbk7W1
VL8MFmbBYH1TiB0SVTk35cWCcctUDN/gjTfUeAWm6aOzJrklYjN+cLXuts37QzO8sDUUC0TNrCei
Ap0OC/qp3k+D9soThWHAHY+6NzxUekX0G3Y8Cj6Y29K+X6vlV4eSJjD6au+N80i+7gwSdtnlQ047
IfLDJJMVbmz5nabyKzatu9XmWUJHjSOZBNksVQRehOmHgTUGerPaY1UHQj3BuFRXI6pNme3momCg
bmVhl4GQy0eM3PCiu+wuU+OK7ImxgAe7nvTKMbfVNKURpsEHynfABaxHM5TcArHMTm36WywhEr1Y
+yWk9lXVZiCXZW/k8pA5KBaER/naaSipxYCfv4mze5nnv/rUOmvd+qNP6DScmO15rYH/7IzIu3I6
Vqw7VgNtpOrTJ9ccnqjfb+NGfTQV/gQJxb4zLFqg6+ixiQYPHZHs67U9JHb12ct0xSES2x+j2X1C
bWGuBm9sA1HjjkVvwLL14tWQNDHnaEph+VqibzIxfMfDsNEdhZfefky7mYkwNgnfYOrCaFpquyzW
v/LE0A+J0hGXO3sZtsrGDjKlOOD9+UDDG3blyrOD/2XZQy7xx/R+jY8gm7jn+oAZq79ouys7AWrC
t71YB13gRpAHEpBXbYaiZcUBtiOXlx9SbEqodlnuq25LVMemXIGWE/G+zB0NJc/M5GqsFnkXpmIM
ZkM9VQVb7Ef4hvBlNT8zS19P+d555Td5+zGZ2x7ugdO8wA76TgoYIn49Oip/CMtb05KAqeL8Qqfc
gAyC0sDrWdWKBtAVN4+PCSWLEfCj0CMJAb328uASJL0cxm4lWdUwltT6srLR9NLI5NTJoIooqWvu
PTGrybuaVX84sRcnr86q3ZvVnaMBIH6rsS1puyQ1RXrwoD+VkLGcsnF2YtEXiMsDG9YjXi62xj20
H7gelJqgMMYk4ZsaYuOza0r3TvWStAs0RRnP0MTRQ5M12uznrK4831jL0doMGRYi3x0yN9kmrWm8
FHkx6/60qE237VvD/orVGJJSx8TYQBI1jpzO2doOrHi6uIVK2mUsBoqKlm5jx0Y2Bj1j0zIcpFJk
0cp9YxHED06vaZtYeH4FjAdsKr3T/YqEJBR9524TRHlvZc8odSl44V1ro2pJDD/WHKsb0fV7UqAD
VqT5KxaP4gNB6G2VFXf0mIzA+sq41IKEZewQGWHM9vJoaI3pIzUb3urOrYKrJdDwSNZLJ/kNL7DZ
Dc1c3mnDyKuDe6Kzmo3rzbtK7w5QVr1Du0bL1G+GOT8O1sROfvQ9QslLemumiRtJyzeClIphXtDg
309G74+et82Bf3ekOSqNKENOWjZg60GbgLUQgQ4yuLwZsWHhlRguaZpCZh7FW2+kIS2vc5pG/oXs
f61mAZ26VCnnkl2ZOjuQR34L4yGYs5QgIQckSJb6rWHWm0KZhnAiju6gJEwGumlryNF6B71p+Pps
IPBHWh+tvEV7O5bPdlJvOozk4IAO/doEsFVgFI+8knqbPNik+LtNHK1j8Yg9WvUbpAQXNj7laV6o
P3VkwHY8nwvIAnuzKI5llzOoN2exsS1B2hAcM36b7PllQzBe/wuG9Q+GZM0nkyrdJePSBBr5/zsj
XsgPcpywKywwi82Cwpp3b52K0BVJeT+VS4SD7aeTyokwZJwVPch39dZN3gxz6bHepceyb+6Hytpg
r9vkBiywNNsSHl8VNgHgrvcMS/7UNOsDph1o980wBl0HK0UlBmBo8i1ZfjtH7X7UZbi/gmbuACD+
EXO/ZZbihtqsnEZL3jodltIuZ1/uS1DbF8+cP8R0J9g3+VameNup1KKE1ae3nrrrXqIag5FyiavU
Hb9ra3g2s4wxOPG6+wGRR6iUeBmS2YgcavSwWdonKESHNRnXW6GUOxtk+8k2lghLx/1gxVffHv4R
ZSaT3yJZdjSzy5p8VOMQlqmMxnXa44DQiD6Wvmiag5izt3JVNws4CaWuuF6AvO21ITu6NYh7h0+g
cdKH3kJiLuFBcC7Parnr3TrepI3tHZU8+XGMFUeh8ll09c6teZAajU00ZAISPdg8kk/R8gDIRebb
PF2eG72NFqY3sartYqd8i0V309TJrhW8IFCYF6X6lY34SMoyJL6moIxZ/bTOXwxr2NkW76Ko7vKC
jqdTYzdyrbnaG9a8BdtEZPwcTYn3OeROYKb3vTglJHI0besrS85Rz2HsXXq8rAyGqW+eiFwPhWpv
h+mlNfodq9PiWTYqt+Cdt6rethxIdxXg2qGdgQLbACnBI2e/qO3HWCpfXp5w9Z8w+6i/0rI+6kh1
zF741gwdQ3j4IJSnUiPHKM4cfVvlbvlMd/iiTWrxyDuJ7c3hlqvj8aa21G1c2D92ZoTqQEnTehOn
b4qBxtDnTZV0DykamAUvXFL7VvMCJuvKB9dCl33f1qpNQQ1dBXHHUegu2G5wZ/XKbZlBKffe7TjU
82OfnssUw8toASJKmVLX6RrfI3N9sdz0VmZqHlgk6fKoOT7SerSAQh7HgStDrT8w8x+bwb31cjJN
2rTpmId1O6BNRO/HbMUSf+EEC4uuj0qiFF+ndKy4ad+bAiJD3Gpx6E1jKJ0ttql0M6q35oDn86pn
3wm9FU/ZJHZeuoNN8LqW9rnQSF5WavPNaz9HJsBST3ZjjegFI8KZDJIJrajKydAzODbBAg657KPM
Fg58JHwH1gLgiOdngQhQ27fMabaxt/ZBCsObmqjsnuqqKhxftc31Cy65V3F6LePJmMcskO28Ru6g
gxFhQ33TV1MRtI15AdMGZKvBRo2D8G3V+/UH2maQSpx9mpHcZDxDYSfvPWb969JSWXsHZ233cAtb
P2MM2QEaXNo0yJb4ZJA0OTZ2hAU6sNohtMyCMG3m8ecVvIsPMnB8LpL1Ul7tz8pybAeMtpWA4lTj
LBap9qII+9g5YmeU4x7hUlC4SuGDhDy5c3LKUjBMHjlLlfsiy/mr6bPbpDp70voUaXq9XF7bGYZv
6YasHcPM5XqaRGdfLK1SdgyLU783MYfG3c4e6qOWrTfIXzVO/4mfg1FOKqtwtNRHBNR35dRGs6iC
9TppnmlcYca03a4h6cHv6e82cXadzTr3jatsE5i63jJ8jWVt7+gekk0/NBvGnLu+zzaNWU+bseHD
6y279uMxX3aaOz8ZqqSZK13TJ0734nHJJlcAgy72xiSfKAQPsi7rSPRoqLCpo4cgqll7ISjG2wAs
0e+q3vyyUuUwcX6Jqvz0KqzZshDbdUnDwTpzrVws/lJnyikkRmfwuw6+GkQRVhVCHppZvuSGwnBa
3q4N20Oru9IF018xOyYZZ8/SkyeZYCWrtPSVMfqNuYy8295u4ddii91QQH6p34UTpR09gUl5W2c2
9yvGAibvm4zmLiyK6qUFxvdMWsRwgjOwM0tn3rSFxEiq3q0pN3LqACZs4NEFsTG92I3xXhWmBuQv
vS0G5YM9athV5VMCgXSTlajVU+1bDt6mMFoH5eZdSzCxcLpd27XqRlXaYGrMe9dJukfs9VHWFXBz
dKrTxmnORetG0+q0vpFOP/FKOJoUes0RQfInFnn2FR4nlifHsJ31D0ZNeFYX41skdufXVmJturnc
oVKvIiK7A0MMEZSi0Tdcmg/DGcsjmAGqRPPDdCrOEc+lw7eWR3c1PuOuvtDea2bJhoV0C+FFg5RR
WcDD7HMnMuv4YZJNBFXlYcricNSdkAlZWMNuqfpu506APETzioJvU2gFpRI9UlVsWvfIYirqhuJJ
1KeqL89ohzDiWk6QjhgaTQQOCJ+b5FMS0JZOL1IK56YD7uIDO8ve89ztQlMTrGmUpH1gey3pFO6l
4yVfcZKqrODSIvkVG3K9ycxMXAd1lbbniVLqcMgkv2AKEj+pJ2OfgEoMl9TVL72mN/eqtqonIk8H
H8OSuSnUVL6UFbHtpCuq+8LB7dotNM8IzG7akhLXbBwQseA5I+r5hI6aBziFMIW6feq36yp77go1
AtXyKcxkSVgvxdo+LzUAhVY771onLbbdKN4V+J1PDPkUGrpY/4TL1L70eO+2OI3HyIuddFuJxvWx
c/d7M5f1PS2sdhaGMrHptS3gN2PCZw/vM0oS13gyCIKYNhjFWVsp8aI/WCva+ut6izYHh591EVxl
+HzZzpE6YBILF+sc88Ajqerx3l9Bvnl94mrJ262TrUUwXcccfT5IrPiJdlfZYjqUlZuWkTrly/fV
A7DplnbecwLVexQMy34kkOOwsqGyYXVu6r6LGRikerRAswvhwM4vuQefFX/M/No3Drs4FpJcAHyb
D/Y8Tz+CeipAnO5sK2MUO5VQybtZlMt3bnk0vWpJdilLNnarcEdBb2Z0QTU/WX0CYJWEWt2sW1ww
88bpYner8Dx8xLK3t5615Oi7iwMu2iRkDaruEEkQusZNNf9C+te8DuMIR1LPbeMyoY7bzLIyT4Yx
qwBbhSl2o1unO7Vlil3SqvdZV3JkXnN516qh/22xO3Mfln5C2Egk+fBvyopERzVWmo3UpMoQyRkt
oKGMChuOEtt4ZAgjiNRfLfwHg/M562V2Ucucz4sUvGzrqQDYG10Vl3FK6mOdNcapJP4pKDX1mCsp
C+TVVuF2EvySbya1Hs6O2ajvsZXIN/BmSIc6uF1nhzyA1HensviMse04/twDh9KpbndOO9i5ny3G
rjVnmtjSSq3vSi3GBVG5MSUbIYZ837JBOEI+yg8WM+4TFo/udYCxvc+kYR2VNI1ZcwuP1Wyt6+Jg
8FVB7A6tGRXgoyjX69Z4oX+qcVpzyQjV2adpFQ5i3VuefdZIvQiqznuYZf2hi27bduIw5V28TTQd
FiKZVAMFB9kgewDXQ+kvvWQCUDs1q0FyDpdjk+YcI2Lk9vfJYsmgE1Xe1k2nMaCRHy+2MulBRyRl
6jv09VVgD45F71GJCHWzuiGNpdmiZyWfI4Mv/1BPVbJV+VTYv49BwzuwhcAWF6R6SJqdeFLEFmBY
FnVuowU4GQihcZ3pwx3ql3H0tHtFnU3qgOpYGNMNsXuVD9R4CHLPy87aujo3iuk81GZJrgFhNnM/
bgdjZVddtyAmURNK52Z2hrYMuqKXj3HVvOcVRi+ftOlhX6ZZb24MEu6cq345PbYAWIpwyDlSiR/o
ts1sflpiADyqMXy9iS3SRXy0ufaJClkLq0Vh2loaepWj40IVxVK7xXc0CHjY3pxvjKZqvgt9Zea5
Ih3kNzqz25FVd55USm1dp5eiGJHjWwIClsWKLADZrqByfOhNrQjIpkEa0lbdk9K38N0c/r8HEXcZ
mQROcVodc9whJtsP6C6JfFDlzaQ3bojbX78Y5notPVZ33E+mBivQcMRyID2HtIMsbzCrCLOPJLLC
k94IveMI0bwIwwZVqUXmBkOVYdgzlAnTkjawkmo4YpHdds4oP7VWguib6IYzm9XY0NahZ4+Rkhhb
2U4ndujTgz6UdPfSUOcvp6jhrJMWodAw59ZKf+0mG+wp7Z72qv3F8igBANtnBd8F3rsitZKbGfr0
kawhxiW6nsCcbWQdH+ylvrdcq6H4KePuXCARfo/pwTy/lYQ80UOavG0ZcTsaJ3aWd+Od7sTPpmyf
8hoPHPkHZ23EKFMpuh20SDWMmoaecYfJx5uBS9agcjvG46Bv105Mbx6RR6fCYNJWOMVB56yltUnf
DU1JdlPRvdlldq/Nw2VEHcExspn4KClL6cOV27FzGgqLmmmNiR1A7V/dxeGPLOJ1EGgUwLNNJGRA
761qN1ARkivofyxKNquIV55SUZ5a502vzUcmSdpWdK3pw9O+n2Zn8dWp3uKOxWVRKzv2lc99WyQB
DOrhzJzpnnCCKGW2mqkXY9WcE0DFz5nzTys65r2KZbYnMg7aswJykCOYgAeEUC0hAhQnI2+Sq5Bc
7TCvS5YpSnShv4ulhlnMHIyQ6dF5Sjs7dHvCB6R6WZjP+7Pr3s09lYPllV+Fqd+qZt1sqLBlIHGt
ATJeosZS6y+LZ6XhVA4IfbhT85EonlaEbmkEkzM9FrY5AM6rmodRqi65vfOphdxercZXP9gfQ/YE
DH6jijpM19HYFs5LXbCBIBGLmdNQkt+dw1jUrA9ie/gQU+eJRIubZQbWqDAAIPphwxRxRXqgMUzJ
er8ZpqBmNoZ99h49Zkh09m5umpAfNbI4EQTblxKVBX3z87w43OulOW5Emx28qSr9FLMBA1fzwWkr
wdi0u0xS3glPJoRyMfAieihV6RfSQlfDdCl+JT0pG+7gPIxqm+1IQHFOzBt2tRunhEpQ5KFqjQyl
EvfQXTJf87pfxIaVu7WuK7J93QeILotvE73FI2I92pZ1WGDIBG3qeOGganTJ046djvkKI5muoHku
7CSiL2oDNuW/pjSbtkXSDAE3U6bekVmhPLEQr/YTmo5ya9jKG5ODo6yYVWvu9OzqcrM687xTx/7c
LvV3I2UKw2OiRKvLnz7OGG+pP3OlvUB/uWqpiEw3Tfi7KczMbeeyp2ei8jSlTM3VuD3HKkFIjJ/X
GyUVbVROcR+ZBaIYvLMyaHvjVC/zu10Uey9GWci90vtTWV+Yxit+X6oHYafDtptNc9MvPcsjlhl7
i2TK2uxbBzukVd/U0jYCL7eDtSdKwxBqoGotn5zY1KOe+HzOFrOc+XWx8jioRu+Uy1W/UXo183PF
nc6z1NCGqXSxibdEy1qjKLMS0OpyyPkJV5c7l6SftjiLJnXDOdYvjt6iGyNa7x14+3T1PNq3RhXH
qe95S3YHgQIRE+EQvstmjeCQb7frrf2q5P3jso75Gxf5fKzr5BOnePpmrrF7K3qxIwSZZFHFpj1p
r+sRbPBx05JIdiB1TISpcNONJtFpGbnBO+H2uB0x9EeEEARmUZ+ErLZybULN9T7mloEdYw+FkRSL
Mc9YbgYLldw8/dI5l9sif03Yw9Ssh1Af5TuSTK4nGtYLvVbDJJHWDfoiI2hmLezN/JsMv6giCEmj
zPOdSURwMZ/abrD3gF3wAjGo1nIjnBSFX5JOTU0fJ4ynVFFmXyZDzzx6+Mn69nXNveTkOVmwxI52
tbr6AxWGb4BU2eqp5g9mdqiIf+k1i6k2R3RCh5tq6/hutUoXjoIMM6K9ntbJ+Bqd9IjR9aBlzi4r
AFXl1FU5kfx1vyNp0bdy0Z7AuLe3k6qRr+7FLHN0jmpPFWvASmPxSRKvEUp5HGoZPySzq7o5tXLd
671bULVKa6d5p4oQtJ3ZFDmqDUWJ/Qb/E1TKyyLKF8WYf9hi8eOud6gmyJ41rxVC8oqiNJCymAOj
7Cj1J/WRePunuVOMTVMle7Mlb2cWR1FpN1ZnbzOWWD5bv2NqTgcuxp4ZsJap171mNCDPQj9HK0KM
BZcdMuBU9Y6FRsQTDu+Xfh14cqbJ9V0o1gfWIRfFI78V6+qmVdo3wXY7GIl5u8n5SaIa0OSGgCMA
7BZ1m/FcZ2/99NP2LDsUHn1IkcTbrKn1a4jt926Y/c7BT1kaGgusioEvGZJPtWWUB6vhhdXjW2Nc
L3WaftRq96bOrBVK0YQSDN8U37Zjwa+1tRd/LRIzymLXDTw6TI/8Ed2QCnay3qRsADxMPJSPqO88
tlkJK3Y6ZClBbLGEKio2raoeh9gsd83A6bC6jBryWqWBUEyfwLjQ0qLJbjd9tu482Ld+39TqBnnJ
END2Y0gptaCwNDZd6XyYDcPcJqXpPjk58+UJqQvQCae/w2P5Jdl2jL2yva44RwWWoQ2sPmgTjaiv
Zn23svpMXtiEt52cERVKuEkDU9SXlk/htOYaB7hmX7Sc72/JuPJWiBa5BjSXD5rnzhrVH1v9ysZu
+hzYH0ZX04+S3yPVdPy+Ft6t47jnzoo35N/dZX9E9DXlc67jVDK9lYp7fCR9Tt+tJAF5nvwgbGvJ
fFDJzwYD2ax1GVIP9lnV4906OD5/bMtMlaVGYrIh52pHKchE8AFoKSRSXta1y57aNYb4Ohk/9hoR
A6eTJdjWsGaT+FXvsggsCJtFHcFQybJxnrVDG68PghKEYBP2zqxI4vInBqTARDvF37BOW0tStnLV
3LUc8k5TbQ3XClqp+7U3x5sqE8d4Ko9GW9J+rrYkprzcESC59+D6+kBZiy8uFNC5ntlEldJv65Tp
el/XXeDpLfMZ1nj4yMiJm5gMy3p9oBfa2DZLOVGvZjB0Zh3URTH6ujNdmAAz7pLNjhAsH9sNhf+u
TJSbqqG3z5ziO+5xRRXdiwkThF+VB8Hyno3QBqhtmGscyIS5BfHSniqKwvKlIBlSEyxSDJeZmi3T
51IrImNdYoDGmnhw8+ZrMoqHfuItU211b9oDw8f06DUIBrT4NQeCvWm05qeskSMsSrwduEI22tX9
NdkLQ38rXnx9TG/KRPuUuV2DY+mEr/XmUSWzIigMtAxjEnrVtLzbatm9pOswbieF4Z/DUCigZtwN
i/IG4TaskpYRnTUhtVSmTZet7F9zHBzfRSZuh4rIuiXhdpwviRkHrjo91hr5hvrww6yTfaZKQE0v
lifcr+m7HKv7hWZ16hhQN2OY4/ghXK89whA/wj68r9a3WF03DWo9tUEtVjhnxnZbpOdbKdLwqozR
eRaF0W1njeFd7Syczr0bGcW0LwbOJGPpkXOlWFYIRx1H/sEdbvuGqxmgKHKFO9YD+ybTork2vpSW
cz8mxL8a1VPHGe+1GOH7M7pt6kwkHVUs74yqDUbjuZSxTyoSUufHyqkPw6IekuRaCpiTIO/apgNU
A7fiRnSVV4UsVzT547F3JtQ/y1YzMDdr/SmrRcQtG7ij7Pearm+Ucae6JUUkz17qbocl+Vr6BUE0
2ax1zbKlpRRV/SJ2Lj2z/LwWxVaaVgQrZsMO8UHv25dkAS+ax2FCsOVoJW3ABZn8GDGn7DVZcLbz
PT2+32GOWFckTfEQ7zt7uQFpzZulI7HNYxT44yHXGK2UZ8rNKcrYEs/kIPol6etdRYSqchlKiH1j
HDbkeyorfYNBb9FprA30o0Se19jrEKyKwRS3HBizW1Gpd2VQ92qyscZ0V60oAWbzGmS01QRiwQxl
1Wr7oig/rMJ8GZ3ljplbEczM9u3qOHbg2UFyr1abnJW+EgQvqsscOurCnD5rlv9g70ya3EbOLfpf
vIcikZi3JDhXUTVXSRtEDRLmITEm8OvfodR+bsl2O7z3pkOKlsQiCSAz73fvud9kxNEpmu3vOqnW
xcIH5TR3IsjvF+cYVH04F/I+rcYzCeSSB3vLiarpNjpI+02W59gi6h2jRooHqCReLz5X9sz6uKlU
frYKtTx2bE95QCYIrsgpdmwfnbna+AORi8Vc3js2TuQL7oOCyFg37dPBZ05eBtfZ4qsrJYbsjCVp
+VyP+qTlwlYn+viTq+7mZ8Dpr/BVF6OahMmETnoxv/q/9+Y2wbhEecWlQVWp83mG8wbiluDDR+W1
xbPSE0Iq4SjvSo8NneAYM3q5mQpGvZv/8JP8lsACv4PzLrjEd+FoYcL9zaqaAtlzy96sVtj3uteg
iPimTTTBAtpold+p0jA+kO39h2Kou3ufiMCWwWXXh8bi/hEH+5/v8m/mhQj/V77LoU37dOh+sV5e
/s5P66VrfQJYTmyY1QWbpAjwNf+0XjruJ2QRSfOZ9dPe/WcXt/h04fOABg8uieMfdKq/Wy+l+ORI
OE8X7yU4BuBS/4318rdEpk/WnJqqSw0fuTEwMb/n+JZMFVWeMxqqcs88GsrTj67KIIFWA80aSz8N
2w5ybJipi0DZ10v2OonJ+64UsvifPrl/cW/9ykz48aOA1bm8q0stEVftrx7QKpg7g0aPeS3ruNs7
0l1Cz0iHPV2bHh4YO+lvcz+O3pW2l58ZhH/b4Pe7mZ26DcoiPHnx2YMfszHI/pnQRNWxMXXWUoeB
kTz5vYlKUelvmfa3eI3+OxYGlAIM+gF8CkK3/Bog1K8v1syt69DtDBHMsOdwToZXq4EH+9cf5u9+
+Z8vQooYcy/XmP/biyRj1caFYzShLFPzgLo9hgvu+vu/fpVfU9K8lYt5mG/qEiK2YT39lgJturFn
JjUgAI/1rWMsGH9i9RB4y7fYJOazNAd/LG+KNvgPDz+bm6P5+XS+xCR+vLBP4BFgvo0vnbDDr58h
1XCtEffsReHl46cYQFvP23zy1XPkI5lvI7zE+A5q8WpdhlzaqAN2TBFmUzXWEYYZ1qcwcmjeWVlq
8h/n2Qg47pWBfk6tsVl4qMIXXRmlaSyrUknyXGhXPcABbT30nc+/1iYpx8ARwbKFCR0dVDUv51k7
njxQQFVAFJQU463q1pDeahwY6xyCriUUZTEadtZBmRpPVWY9tXxkgL7bgYGF2Q+euXEyZ2HpaCDR
rGbX4Vj319/aP10bfNEUeRB4FJ7kJPVbth1lrTZytOOQQU5+bYho2LQpmd2/fpV/uqeAtwGZkBcW
CwSG3++pPtVdafZmH06iV2HQt5ITTqTXth4FDiLCAH/9er/G2S+XBP0aF06H4/HABTjy6yXhwp/G
DNn2IblzvrmhstieK0zKDYdzldeg5WfkoL9+0X/xJl1M64JIHmXO8ndgYRAkOO5djq5ePtx0bZPv
+6TDA2oFN9UMYvyvX+1ffHE+BjgP7yJP7J/Z0T+B5BYujrE1fU5gcCHXRFbNcAj0f6qA/41wxScZ
0GHKd8czmP5m0/3t2dGbDVBdHlzh5OTVV0pGpIPFvkF8VHXqP/hjc2UMrRuHSyzpVp2VV26r1MYu
SOzfe6BAw/mcdszmf779/+0y/gYW6k9Xwj8lxe6m1+oDmsA/gmI//sIf6Q7xifAyzco0N/xg1fJ1
/dxiSP8T3w2fMxXFXJ1woP6R7jA/0fJlg30gNc4dyq/+ERSTny7F5KQ75IUNQvJE/jdbDNv7dZVw
WIFcdqkkUARFOyYrxa93Zj0m0cxE7L7PE9SyFJQ4onMUHFQztU+Sho1NF7jFOXH9+rZaZv96Mh39
JoAzrMcssrjayzykk6c7t/2ov0gdTfezFPLBqa1mO0zdfHCKIntaZvOBmp3l0ZzihIqCLr6NimE5
kdZwNslsaAwjYzxvXcXvK1pADtbArN8b++IKRcY/lj0OvBUFelZMnqodRNhIJ9qopB9fcl/N9irD
54y/o/Kcr06JxhrG9iLddeFa3WfZ1v4pU2iE2PG78ugOU1CsWsVMFrNps/jbkl0IdqLion/a4GrQ
Vg1m7zbq+4onWz2v8M01tyUV6smhF8Pw1Lkm0Ghlz/ZtSf/Djh+luy4jZE1VR+aN3czeurdNxiWz
0xxcnRrOKq96DP5K6AstPA77xjx2wBd3kZWewTSIU4bLpxSNvpkoyrCGmz6lqIJ+tpWr1HdlfXUS
Y7pFpTySOXlr8/nKqgC1l6elTo/T2D96pVg7+dDizkRYEO29SKIPIwrGo2qnF9zQuDSbUQIV99f0
VIA6tDovlJn7JmGsX3VMZvmoPvuJfa+pttjY47ClggQLRJTEb1nGiTRp/HdHZu06cTz9Ksr+w3W7
/LJAm1+0031JVXCYpHEs25jq4Dgq7sjkZju8KDVjfvferdrv9mI+UkV2Tzx2D2Z5k7fttmN7wKSR
XynZEY5ILXtc2Sn/9BLV7TZr/IZMSiQ3rWHfuWRM8O6rq0xOr45FU+UqjfZqnPlM0XUmmg52Y2lb
8mQNGOw1Rt0um5hOW9KJUSgmITfR1Irv9cT3hfUToESWY2bR8Ibdwqouy9LOMXCGjMNBUW/xNNnM
hDVnSMpCVgVhiaJwhw92wfdt7IVx9UU5PZuHfuzo4ygx4tSz38mNahJ/rQ2bfXuUXPYYjtNG/sox
LM6HaTQPxyow5ICHACz8lamy7tUQXnXTjTEjQ2uID04iTZywjYm/tdfU4DCECrGKlk/I8vi0x2YF
7xVDEXQisgX8zgtuvEwFWPa7/WR3zxL6ZWuVd9Y0h2Us77MFpaOY0fdkczvERbp1NCXcTpB3p4Fm
mXVhp1/EnG1ZXoAtE3leQbI8dtQJb4ZmwFGVJPtmSGl9ITXl98vMGcC/yl3pr7oRpyBa8jbpHHhv
eSuOCxl7ao/jOmTM4pClMJDkPSQKTgveyqY8aUfVzGdl5p1cMcu/qrAyrLuyuDJgba3Kqi3XnVGO
G8+oAvyMw7zK6vi+TFL/UM1aPhilE98KB+pVk/NREp6btwE1zCAp+uGjSOPnMm0PRvEdGpb5gGyp
NqVy2eO5NtqTCvZJo56bypZbDAs8nixzn5deOLh00E2azwMkl8Mko9Hr0QVWF3U+4h/xeE5hAspW
R40cNEl7j/GdLoxqMndWZ3tvZhR72+HSZtE2i/wy6+Auzqt9RLUepq1sn1Qklsr8tk4mG73XDZMs
zJK6vycvEawJYI0AAH1mxOTc0LpoC+qy94iPLuxKrwubyHlPxvxAGW1YJMlT3HTvdPrkb5Ta7LOW
aHg7ybVWwzoq7RQeBDYLyfpvD+fKdO4Mg9pjxC5s/Paw1754ES23o6AqJMXkV5M2YziqOUCg+FRt
sacXyjmj8zY3vB2GcvWSnkvHwlpqZtHeuLgqa986xv0cb3Bu7b3Y9PZ2koKjXsK6l/JLkMqJbxxW
yUNP+9GRbWiyLVMJ7tBNAV8CSHikgvk5U/auFwnZI/cLTYLlajJ9u9qz+bGiS9mO/Zywft5YVmM9
NhNNVJEfv5mp5N7F0gDH310VKlOreqGRxmayui6L0X6fRvx0i8keVPaOcWiCyyBQJ8bJEqMYXgHj
lCebM9Nbrd2JOS2H/fdKYl0jTmZPdCCkxLpXfi5USDOQt0vNlJQxspd/LevafByo51prOzOMXSlo
uqJP5Vxy3Eswp0XWjW7xUvRta4Y8uYMt/TftYWqd7OSZFx+LsjD310FXnDEMJ9upIpVmYPfjxuwE
4Slmo3oMUN6dNN0v+Od2Gr7fcxNDii/Lsx31+3YgJcV0XI/FHuJotbeWYhxWI49AOB8jZrlpD+P0
O0A7dcJhI0LClu646jTFpqmyjb3fT9mWjvRo6/FeOjS1U1sq86Yz9Dp2sUunvIdRu0+9Ju2GGN/c
LR3BkKh7HWnb2EZj4z0awxxttVd2YY/TPUQzmPYZrvlN5Cv3KRZ5/WpQEfUQoylsNISXawgY2ZOR
Tslhziuabqw0Pk5ZnRxzGRhno2jnWzJSzZd0dmOkT7YirJ6zHx1yu8QxMvXuXd8aFV41UT0BTaze
EtNd7lNtRaFwNZEyOxJbQIrRDRH2IqQsLGI+Oi/vPzZ//9sH/8302Lz+e7XtnMbf2j9vg3/8+Z/b
YJOQM3UC9DwgB1za5diF/twGi08mfDuOu8DH0LssT3Dg/SPlLNHnTPynpJwpwyYeLf9/G2yan1wQ
AJfqb1wOP6Te/yLjjDj7i2ThWWALYGG6DjxQHHeobr/ugtNWzWmML4t6NjnSfLDUROsF3clrADPO
B/t45PluwES4NxpaWbCZql4cqfSMjB2beEK0ST7O+U1kBARCI5dd/Ufiz6m6mXxKTUSGmXpHVrla
QntS0XPR+ARVtKurd4IkyVtHExdB2cr0V6T3m2TtkrM7DqKt47dJmsDPDWkuR1/29Y6zJ9aBCuch
9VH4JreRWQo9hUHJ7sLZBCLPgsPc2k17PfctsTQcY/0jVhvuc+p18JDyYFAL0JeEE6ITV8nyfV7Y
rV6542xiGsyzZo+v1Ms2DRzVeKMxY0zMTJk8i91MGoQdrMME9lulikBVW5quR2qLq6H2PRrvpiqw
9yXwdgsrdKSjr8Qs5ppxxGxZZxfrtrmOxiFz0xVrLWHFZWwta+UZTvRBQ/XwrPKZBK6aI/BIs89G
YhiZXq2pixvvZi+e8rVgux+HYpiSm3wguIQ1ymiu6tom2KilUu2KvUkU8fC5JAqiuuOBmzXy7tIX
ue2BMJ0iV0Tpup+Ll9k0LG+FUJWdmfP5UGboX3uvRzufyPpVyX3QNdaq1HnASLGVY1hizfpKgVGT
EScNsPaZdVpGK7KR7SHCKEAbayAT+NqzINVr4uM94//tGizGSD+hnQ1fzGnCzUEj2edOJniOKN/a
pZQYbttEundpYzfvQCgv6Sc1YefIzepl7s1kjzEyqMKS9f9pwYP6QYFZYBIcmtyLlUUYzE7t2BzW
rMb5xiete1+S/RMXK1e9RHtMBnxW7oS9lo0YBq6HYuwxRSCLeQPGwFbnV9Q0Tj5ejd7XlH05LoTP
HQnhznqdsoodPjPvAMJPAzttxl/fN3jEUpcv1pBUj13uixyjemfXD8vMwmarNgid3L0aa30NXvD7
UDfVKsCdSK2WKlZJkUKyIDVR4eKBuESrmFBBv2E5uiq6SazapKjeMqd9mFsQGn4ci5DwVhCzf/Tf
p7ZRoaUxcAQK24mJm3qfTxzmWrJisSS/lCQFrs9YM0hNjKe+EE+5HVm72u677TLl+aqYm2In1HCl
myA0pxTzFe95PxfNTnbeUySsTV2l+84n7iwRW1f5DGnMEK3eYHr46HT1QpbnTbnFKa0ZKmo33tqT
7X/D0fBhFAv2xujGmBd5X7XCW9vTwim7zrn3MUhEjZShNTPKxfFfhMXkfZCrxXszgzek6SgOXTJs
udOonT+Ynxels3USGd261pjGGACkbyPf9wl7y45GwqugU1w01Ms+V3X83OMApejvq628+yljWwTe
62vg9FFI2a0fjsZwbrws/tIk5a2U/mHJRmvPTg5L6dAeF7Z5674xPsdJtM/YkiUxjizqmoCUB2Ja
k2iMHvFpuHdd0zw6zfTFKHuaI/GWd/1JZHFBHn/AOFuXj8xP1Nof+prsm2ls6wlnoUwdHhba0/Nx
aty7bFpwqIxjvcFJ766Q9qdVASNw3eKN3Mil1HRyVkgUo0DJblwCq5isJftqDi++i2W2khgTsqL/
Sp0uyBXH/fCzNr9WiyjOJNlvqExj9zJiqzUjN7jqqCtdTx7QiNnp/LOo3BbTrHPXdia+BEHBrCVW
QWLnt3SB7fGp0TBXO4eOkSi82y+03r1VgaKCPgsE/SH6udcRRxVN7pzaBmeD6pBcVylQhryPNo4r
sn08clIzHCscWtVebD80vqXWtZUG7SlWMjsOHtx5L5HNxs3Hk4/VzRu6mwZr5ZnauCQcvOUdTN5d
aTrq6I5Fu8MC+lIUcXnf1rAfikmT9BFYF1M223uTDaE0R3322wLbhZdiumLHl1rqqtf2ppdlvely
I/uCorhr7fitnAYb37/9uWDnVvcDPgHJZZopM8DnkfohYkuzd6b2sdPDR4mbIs/TU0VJII/r4Ykm
uy+dD1qSh41x1v3sXYhyxbo3CBmlxHpTqR97ofVW2OZRTMt1fXnQT8WOYgiq97A6LbkLPY87CgNx
tEtte5cP1Pu6Ce3q9TiubabUtROExUzCoVfGzTiQqRUlhYLqbJnq0C3COIyVfcvzrTx7C++593va
VlMSa47TfMyVfnRE9V1285GzwmYmgh7qur4a0znYteCkt0tl3NJ7Fq+8oOVe18ahhCTSjF3/lmAR
Jcit12VNDZopnWxN6tmjm1q91/V8Q3dHjeGwf/di5ke0oVYnG9g4QYiLWbiT21zEd8sQIJx1NGiO
wQdFqp/7vrBv68w5upN3zfEkW7C8Rn7JSdEs8xSEhCx43FXC6dV30Yv8oa+5GDnw4xVH+Bo5qq8C
ZOGtxRCwwAsijPpd47QmA5V4l3LDpF/MJzshRc2RFOUff5rkmtp2da/wnFvtgnW86KXZVpsFkCCj
kNizhiYMFp/eSwQTv/C9Bx8kxXTVlyo7MLArDWddoXmk7q30yzpQWwFsbqi/S3Pw6vLA6C6TCwm8
IMHsHUEKMNdpEk8ccvlhO3ZOspvkKUUTXL7aQvWa7D/we9/caQgohdxZsE+cDHmslhr8f99rwoVx
V+2D1h7lI1+erMczUp04ijkJbjTZoFtc8OJNCe6jsGGtkGv2D06i71vPYdSw94zElauyHK0t8bgl
dp7ziYz42opz4tiryuYaui0k96GxqQ2LEcnBRm7gmM/K6xgbd2FABWVb2E1cvgBfsHC71PWjMMup
MD6nok078zBwSvyiK1BwPaf6HlAsC58jqwUayjzYttJXWTb5ELKjVCX2nTRdMgypU+pVnqPrZDus
kpe0txUT85JBtuQJNG24qThhrHa+LqWgk50i4sIpVYgh2PP5eK2lcqxVhBJKbLi2cFw7eWlRXOnj
yFdhvrDQnJOobTuS06LlIdtipLjlxIxaaXWq3Ok+hs5PTK9Lv1Rm+7VnIUgfTbjd3r02MwwzTCma
+i2Fk55t2ELdtMaQsZ4sksThNmr7+DoB9w30JWjHyWPZWSZUYvTZJqnGHXNJhfVSFswIURUgh33D
fDanN1Pu6/6lr3EZHtB6dRQmim3ZWlOOvLFt4AghXC29PPixY7vY7o0p+7z4VjH7mxSqi7ftp2Bc
VekYJbt8KvFBZt6Y6ecKcekuQiIi8oxo225c1TADTMdA2edkxOe/Sos5nXaVLkhe9UHWd0dol+4e
Jgun/CQSmeD2RppN2DKXJPYhq4QLqFzKhCP6JKeEHU3InV7Ck7WCCz/CcGUQw++pkFTx2zi1mcyf
2zmuvG1E3qo4mE0l7adkulQOV3Dy87Aply7YaDo4aj60EUxNbBEummomoWpegK60htu+mD4QB/h/
mHj8vEAYl0RTAGHg8W6WZxyOzZehyAb2albNeJcDdufI3ZRnEc4YI0Y20uUQWokmsZJ1Dvjq3rjS
gVcfXDe3r/JxmPaLTRcoIFJ1Vxc87ZyZFkVivlMIBZTnJmki4vW+3HuQxo7C57HFuzQ2QQIJyWtd
LJQk5PK9qyLWMYqdT34xlGsPTvfWSt36oSuMft0Jv1j7dWNfG7SZklXwQOEkRvaUaU8wxorb79Ws
2CV67PG/FYT4v6M76XzF6NR484ehLFaSu/wMSynbmCXSIqGsJQSmyanBrP2BfQ9JwMQrs21udeJt
hiuKjYvHyD6bCWaVqj8HqLKXdeWt8Skl7ogLg0lQ/o0iq/vGmTXZNDTrMl7LgQHpGs9dx1p5aOkk
3eJxfzNqZzqAcZn3TktR3jo1aPWmNp7cUcyD0Yhz9xD7ttjOavTXg6xeWHYKbPq6eSE+TGae3sw1
fabJUyNKHfpFfwoGvEBWgaeuzxuOJx6lz9tg4HmzqkZrfA66qCUmmpKE5wi19mfX3mvVf+t8FW8v
+IDbaVI3VAmWV9RoY1+dsKflPms5Zd8ZJdIeubiiDGQoJ2U/6nR4BCGaHDIB4cov3a0deyT749Hd
wBIyj2YMYShTafpetpeDrFfWJA0Rpc3BJEeSdcW9iiGxysnWq8kem2feCVvUmdTwri5HaB4cKOFS
mMt5AtNxGKLW442PIB3krEPeSZ9v/6fE9PPFYiEvvUb/Xon5mpZvr2/Ttz+LMT/+yh8zSesTnQIW
o8BL/YmPAeXvYowEa2l5wKrpxbsQji8yyB9ajIGEg9yCUMMEGrrkDwrc/9ue5Cem0cwxEU7430Ja
/81M0rd+NRvBwvPMwMM356EMCTDdvwHnlF/BymZN4PDsOsN+roeor+7jphq76Jre+Yw9QEtb0XUW
de5WmVZ9wsbVPuiqDlYdUaMVqpGJnJnVeOhTcGKBFu0pZXsfVj0h/3UqTKQE/5lB+8nrpN510CZ2
yndWgRcNTDR8la1Lo11OeLfxX7MdiofAebcr7NBe0z14nJK3w6CfBIYrWAkiMW79DMjtavAUs8yG
Xoh3SwzFYcYks29ddAg7WapDxo+/b/gj943tx8NmshhMytpwdzICF1Bh4lxXsVOv3JhzO4j4hFp0
HhRm/0ZO5mS55S1fqcC04jOE8kk14ccu977Ng5YXvRnw8wZzdeu1/hkYZLZmeDqcvJlwVTgjrard
Qjwt/Y72S4iyjBNmdPjlzZ1da5goYun6I+Rb9yodCIWpEewdViucswKzrwILMs35dLFVy3U8+dhD
ya5vk0LsUy8DbDs4g7dlEw0LYGJAMVkjpBoJjEIv4zv+4+m2IUKKmZ08giiz4Ozakxv6Oaw9sLYk
jbrocahIQrtNk7EU1w4d4nVCpCbpbtAPmkNPVuRgiqT7bCqOysRY65NBOct6gHa+NqEfHyByE4yq
YvNh9CNI8M1Y9e8YMpbtxM4M9Mhon2Y3sb6yOiLUk6re4z8aD34/lHyBaS+AZ0orIetGh2dvw+4N
IjLYwnOuhn5qwHuXeIdBaWxzEzDvSkxQ55pANDBKssZuUYAEQO6GQMeUlu2aiG53nDPPuaVr3th7
RHLw29JL3CQNS+PM6E0QNoUOM/AZulJDoOkK772mcvoFG3K5z30CW0uj5cHWVvaQjZ7elgsJ2twd
4ZaVeX1MYtmeyKSBIQhIVSve9dlPfZ9poR1fOsH7oNxok6zTkJj21VQL4+RmgYkvHHmeA9fsXEKT
Rf06T9O4mx1KwgnxtJfutMndW8oHewBelEMdm+91EUQATtqelA/zYa5rPz/V3YxCkqRY9KCOrSxG
S8ynjDeQzDuvmqNolXWT8RQUpEDqPtC7aKiD17rq1KNhJ/Y9F87ClUKUo3NyfUv9rbMlNy5Widd3
74Q1jSPCwnjHcNeAzZGys7O9nVMxo6yF361FogsKYsfkalImrO+otLaNsZgbnBbt1sGzvtFsxHoG
4x0jzdxKMEtOit57aiROXjbfxiX4F1lV6W2FhDRq43M7JBwLy3rfGU551q17bPqyvcL7tu8nVd17
IN92XAZnKizvact9rWWLxAMahUQ/ydaKwDTb0q8zc4zrBZ6FPdpvixNDj8rsFr7aXNREy/J702AL
BoPD5Lhuvnjadp9wiWVbqxLDXrb2fvTK1zySYktAyjzDJaRy3ljerdYY36ax+JxHwQPW/l0DYTr0
XTv0o/hzsiyPZdAB4cpvmZu+ogG+zORRo7INu8ooYeBUzsqr203ndhu09p3jMp63nfhUC+fFLMZ3
D/TeqlJTtNFF/AbI5zNlEjQYAElivgZgh9xb8i1ymzscV+cOPsSp0MZznZJ0giq0rgjadm56KnV6
cBMSARwKbqRtzJs0Vc8jtHE3tVcNesm6bpKbxFNHq/GMLZs4CPhVs7WleUUj9I6gbbdCsNwaaZxt
1AW0CTFsrcg03LvsgncFmzqx8swlfdAo1N8bWxVbw4vvLZsJJoEQtqF8fsnETripgnMMjXOFIACj
aCHQN3sMeW0T+YlOA71ZKJD3yw/bok7KUvCMeWZc+zPSJSp/cZzdmq5JgrtBnHhABvxoNTbBsm8L
58rjVA9JpHjPAv0tXQyMBJIQqp1c0/x6TDOOJto2mpXnwBPps+OiYqxb1R4DvrVKbI2aG10Dvm8h
HbGm0Fj2DQIHqerKvYV99AD086S5M1beKOXLYHA/Ud/3uRy9bq852a85vN5OEs5UMN0UmDS/53Fi
chTs3W3SB+AMCVxnKatn5pIO8vgHtsslQ+Sir3gpUne89Oamt0kp2A6kO2pRRSgX75RpVJg2WR5F
SQYQVX1gteWAhQ5AObsCXTRby9ehM8dNlPnFN59mnrvA4EuzAGjCTakrveqyvt+ZslTvPtn/FQhJ
m+BD3n4s3cigmHe6C6ShdrWH6TiMIVFkpwlsRHA7eC4X+MLUfZ3YVMRucU5H53peYLdHY+qYYHSm
4m3ox/S+Ufw3bMUFruInwzjth7nOtspzb4eEQLQxBASuegA2QwD4hYhZdZRFR6dBR/F1OYIGtCWK
eJ8ysUbRgqRgpyTAmHjwZTMI99VOoqzvDKYpaEEq37oz21qz1/pVidIFAtVbYiPaS7QM/QABwJ0b
qY8djisjHEHL64eSTHxwTOs4VxtZun2UrVzNOOMGsp9cjfmyoc2mWU+TWW4Jdg1EWFOURCgKgCsw
VW5UG4cS/hYrC8jK/ItQKDnJKOL1nNvPOhv6Ax/MjeCk5ylqA2ox4NxRG7RusFDxmdaQMCgytPKU
FWDdYAGFBWieRDG/NSPxWCcg/afFbZPN9RrE641pphNlDKyslz6D9TIq3qNKOfLl5XdfzObaq1MG
zmalQ75CgSS9BBraKV4CVRSvmYtba4hcHEjAO9kMoagSUh0q+cDgm3vTtUjxLXWxpdjqba41cWC4
LrsysF7quuTJ2QUIyA4FbMgzoDlq9zGlHikpEDwDRYFmTWnVujBakkSibDY4zTJsJjGGmHxe8BbP
4yH3UwuUohhJx1NkFuZ2PF0jvCQnUtz5vgha0HoXUUR01RfLD6Jl7U0uxhUKCtNNM/XRVW370dlu
AcT6DqfWSZXLCRJHfz9iQfMSpbaq8o2reey/Q/LZKsWPIrgkjXIaD2zD3K9ZZ3IMyphGkB9E5qmT
YGu29Y4GEC4jP7Rd6DUMSrbFRKgJUZxg/Mzx0HBfHPuSQKLq4aEsueHbWkRcAjXGItdmEcQ+/TYo
SKFzqWbSlx5WDyJe4ysBgrD3EEObvs83LGxNNW/cRFY4/8ZUQnF3mLGtMd7A3hprkuH7POb72GBq
AOEpJ53nLAfxDA3BVOymCRFimrFDEJpLe6p7bbnMNEzdEjmeMRmt8545KHpiXuPZn/RFg5Tx8BLP
6TxsjMSw2rBMfECYvlFheBmFZcYHsgbiVjAtEDiL3K7dluj+xQ2YIcv82llCHxQdx10RtulcAqHO
uozRXQ9942wicqcuD9jZ+0ZsbdKoYokVNceg8KZ+B3d4+qj72BuNkFr5jNiyCCr9LHDNftcmkgvD
pbQ1EBeSEQtJQY1ZerSGqAvCdpBdc+wily2h4Qn3VAmRqLem94cp1Ej75n4hVQeSvcZw/9iwuT02
LtXYucHz7GLxStJ9lCHILszIjm1UzCvSzXo4MY6IMD7OcEK+urzAKRW+xvmDfji2ZLZKnFltniQP
Xdp0oV31KZHyqRpO8zySxR1S8sFza/ntXiaGAxoJiYp3PNgpy35dGclq4SVefW/O1QgLdwAu7yoX
MZcemQvWYcRZd2beN3IykUY7HixyoQ9B7jhvQVbG8CNdk1xEAx5r2Fg4jhLKaOauGlaDvfQXLOuy
yJtsBIl0GAGhtuGkG5+1K6m6r0QzXSesXT811hmtGfZ+HtJGvsAyMLwjk2mX51ElU2QpkPukzydY
R80+1q027rDbLQgkpPG7uyp1FXBFr+OBbXkE1LY4No1+xz0mUPndYRqgf6V1X6wylraeqHqcGoQy
4VPuKpAQFVsAAtnXnlmm1lFTnFhsYjPtixAMoHsZO8Rx+2GN/cTqg9fSY2HSzlVOVIF1LwqgozCl
f+19Hr+rGlbfo492WIYsDSWYrDa6E72JkWuZvVRfT87S7VN8UuaHb41+txN6ZrCw7k2TI8tlaDKf
ljGrz0bPIrjjFnOnI0wcrJv/x9657DaubGf4VYRMzjlA1EekLhSBZAOWLF/al3a37N6XiUFJbIoS
Rcq8SKKCAJnkITLO6AwyyzCzfpM8Sb6izN4qSpbdZmV3pxEf4GDbUheLq1ZVrcu//rVqVyenjXHY
XnysRnGN0vXJCqbl2sNyzmULa3WtU4f7lZj9PCKvWKWkP6Xev5cs7n+BQ480cm06O3dJE5PF484J
I3eGN7uAtnexmoJ/mZDImqQrWtUI907Xk/P2ul67MR5q0xu9Fi7IJpmsa0i6w+jENf3hV5PG7zcm
RBLUwtMgdxKin1pCC77qGCKcrs7mg3XKnP2yXLQm74BGJfRPiWHGS33AwcdtItzkHdJVjYq4FumR
GnVZnWhuxObZA7b4z3h8cfU4fFgZ0ds52YbaMZmg5OJh5bc6DtWdJ/Aq0W6v9aDdUxZOoNl8uzDb
tL8hHTi9ba0ciz66rSuXXj4nD/fwnyXtxvVaXyQ9jwWggBV6Q2NJHHrynp5H3XF7Mp+8nRnJinD3
UvPeUfb6KQV/eWw4tAE6SedjGEopbOg9PBDWWiwEtQHRjMSqNhpJ9/+jVZtoFdiaQ9GqD5//RsvE
wN+OVmX/ZBOtajbftEWdFJB3UahCT+Q8WsUnOvAgUEU0TSGc1aL+I49WUYgHzIj4EWVIFH7A6PQF
OgRO5g3XNVifegOUfRtswtdEq+o7pS1ao1VrUN1Sb9R0o14E0OvtddyaiHCsD5q6em0sp8ug2175
IMgXKzobntRTcO8Q3M4m993GwlzAGaan1eWFFjYa3DR+CzBq/Z78zmkVkAStU9a+CSh1pRMVXjzE
E++toVXny868OSbX135YaoIihXTOMddgC7AvoJEbPwQae4yrKrh0tZROTcR4w5HTmFA6NXtI6h9i
UD0hKYo53VcjzyT76C6T6Ayrp55QtD3/JYLNeAjm3Rg0/DAYfb16v5vbfj8ObTu+sub/IBB1w4CC
OtcZxz/Jv0ab3x07EOUW0i89brY4fZ/YYfrBJhjPP91UEopvvvTDx2KN23Ru/+PfDQMCSmI0p6CF
9LU5pLi3gRNsK2329Ue82xsDuBv6SkFFW6sBPM6VtgrgjUipRm0Ha0TusdX8HfAGqo1qrCYfQ0NO
QFXno8cYa+uNpukA3vihYKROKebXKK2elQn9XqNHMaVBJSfbB/0nCEwxmAx4m9M3oGlMPhnutNGi
bYFXvTQmfiO9AoDVirohie+1NTeCFEoeQD+X44j6d3JS5hicjzb7hHtJGgYg6f2NM1vdf5yQA/1t
vJzO7wIaRtR63CZ1ODGbD+Dox05N9+ErWMRWUNWp2Kwuq/CY1PSx89AxNfK0nWlzkbzj7MfGjshU
k05vG4KoutEIbuoexUtn+kNYm/ewOeuAp6JGOvTv01D7WUsm5PrCaGGOT52JO15dtdpTVzQUmNWO
lxOt9XDnQzSHt1B1tNZdvQq4rTfXqu2TBmFMyAy8AAaShUHnNRqNBHONBgnLeWoSEBlXk/NWqi3m
pwDpA0gSWr42+RCBqmt0Y0e4mwndby9rjjO7Ags2pUDBCOIGYOm0jfE5jsJBdbKCmaRNGCjpONNg
+i5oNuqny8hw3ZsFZFVcLwB9KMQ3MZpnIjoZLsgRQvkCqxwh7BCEw3phHq8TsBf0t5s27y9Td05L
NiA9ya2nNWktZup+28R5T/FTOjq5lmhEkUcVcAKkVnfNaNW8dn0SPM2TaIzx1FnXMb7fiyrEkem4
94Lea+l/wqhxLhbQ0BLuDRvLHoY9ubkHQHDByXyhNQmJz5xR4/6ePBDZgWjaMxcNEmi1mae1ofoO
Egrr/EnYb4PXbZ42HZNKjJA6mDpOxRSmSLqqwDZh3jfXQAgnExAoa9iP4f6F6LCDyVH1SDLeO58w
sx2AZ9MYLQhTT5CRNKsLyl8m5Co7dJ55GEUYUuPTJe3WyYDGExcuOmg+EyoYI+IqQKDMu4kHyhEq
aYG8mMzSdQceKOLMMEHd/xJ5c4wgDP+GRdXWhWuu/PkpO5JiE/8+mfYpQuXFommDcDLkI+sA9TS8
a5N46M96O4iCi6m3IFa1IES7gnxnady16gmoxGVqkI6/j41x2q2HzmyEfQ0bEFwH+JwRtgtN+NpU
/vbi1rx1vXYfXHvttifwRnA/vqdxqQvWLFoHA6/tLC+c8djEQafoeQb5UTOOQKp4/i+rph4P6HXV
WMMRPTNsuE3c6Dxdm5OBY07GN4T4Z+QgjeWkir9XT0SGtFolkDAnNkG4iFasHULULrGzccs5X0wd
MvGdmj8hwuK6Y3IuzZDg6hgQ9jvdbzYIGKyomzme1GMR5NUXJ54TkjCfQdIWd5IqBKokXVPqc+sx
lCAxfWGIFsUt7zfS4NNfq3EcxN2VK/hu6w5dRry0PoNqiFTA8aRGRz2CbjP4rduBvpj1TIfrsNum
HKBKdn3CVGOIB/v1Cdjtbms9jwchrVQfekZjQZpjbULbaa4WBHB4B6N52l7WQr2b0hMtEhyiY27X
OK7exRDtVrvLhXtvezUDkEpanzjh5XpN30yInOsxXFb+avZ+nVTHVw1vzkUKFe3EXgH+uhuDXYGI
Eb0PO/F8NvvgpJGZYLVCLrOe6AuvuwhrnpUk44ff0JgV4R7Ig4MznxMF3hMHt9OIiBJSZuC07oBx
gGtbE9dvwfDnCxgKVNwXDXw/ewkKi2ubnOtloCVkFQAWzUEpRNBr9eaeH0ZnxtqIRXBjgUlLlTUN
Z8wxHU3qQBhOvaYHuUkroLH8po72/xCk/XGqe694bIXfDYAbrpf4NtixA170pcMDvcxmEFX2UmY2
m1FmrhwaAHCDSyES1kj7DZz2JD3rWA/ZD6leL/Cdx4+r2hu8IgzN2uPH5uaBWxJ6SgaHX2/XmNod
59Ab2JldlvVJNEgbl5KBSaq5hlFCtmHzw4BbMjAoJjBNQ8MB3PxssuHfkQhaOAmlJKBDQFLTdbLf
+TpLEtBN3BvMSBM9yH42hup3JAE60JUUgfam0dDMVlsY4VuLX2+/aVBQYbbAL2Q/G1F/R6/OkpV8
dVhJRb1MXQfHJL08AI0afi3Y/+9O5fV66bdG5yGKoAwdhz77kY8+OiVCAwOnEh5L9rMJK7xo5V/w
pS9XBOR63ii7QVw72nI0n/1CfsDuDvB4cIrTsW7WjNoX3y37qnBDN4NvDlHx+0/DgAPV5w+ZZ7z1
gbjttn4NhrblP/MdycONdr78KJztuWz/qSdO9lwUe98x/+OZa4dWOByn2T9JH9/62ppxrx19Ct2h
te0vZ/Vcv7+JcMQfX3lr+xwc0o95WlwYlmQmmlhq3MiVJqpnh1mZEXtJGMwlPJZWa4pIVplBr4Mw
HleOZnZRsHodQodyYx+BLwwtryAHUWhXbtw+fuDeOWdHermx34mdIM+4Bb9Go61zZjSgkGpC5sVt
UUbmNwSZHOp9JP1owaAB8xwlfSJQqRlwdhWfkvweYYpeqN3ojFVQRC5DCJ3aQPAI3WhELgVAT36d
VzyoY3nsoUo/tsCH5uOJo8og0dai1bJW5/3A9ZmibLL0467sKJgHsTWThQjZEWC7ts7prsHIBjHJ
jgq/4t2uLGcc2oN82tlbwd4m/gfxiWlgRcJ6kn+8Jx740tXqWqE7GKCAlWs7HtuhBymMJMw2dL7Y
Mg0C0miILsiQnn3svlP4SzB095aRTfiv//xxbYWQNkdIfq5v3wzy7SPdLDsXy4HvfqNbqGv5lkzW
I8yWJ3X6hVv1lJi2L1Y8H0qIUFDHlR34yl65QynITLqj/LB9Cy+5csNtHdoVpl25ch8SGyM7HzpT
gZqCJ935bmyP9pwtuuA7KiueLgNwS+29A7mrsJ2ffMJX7+t8LCEaIvps5rYgksy83ifPjW+3gUmH
bfX9fu0G3p7/o5W6/aeeEsuwY41DFDIXZibgQxfoCzdlN50TKd8eVSQ5nlywF456aq0t1Dl05/lY
G4U4pGsvHPo8tGQhkOMpPd/zKLRsLx8nm6umQLjM9UEaVKSqysr2bRCOCiLQFYjgIllabpxPLxNB
XcGwl/bA8uUjk7BE/pg9R8IL1eDdrCADUexRVrTvsVvDfJhMBLuWcPK7jfrCqfatZORWjkJrINty
+kG79KWDkxm2tqesCyLRsoJ4vJDEnCs9OJ+KNi9EWOUf8rMdxZWO5U/zoYTEsW/zX1+vHL/aM1s6
JPSWgo13HVRQuj9FlaINQwyy/JxPA4at9JPBiEJCfFVpKzbQFQWb5jbxB5XzaMfqBmmlQSCjQEZH
g6RylUSSRj6OrkBG//Sh1+99+Ng7/ueKUB47RGBF/cdDEuQ0LU0HECMIIwUt5OH9sO+y/mMciE18
48dzII48Tn35XFJwlxz5oyAMJd0iuHl4bTdJr4PxMRHEkeeqKTjdOrbnuMksn192tinYYLT+QLCZ
O3Jmh5BQBwvXl0QiSMfLyoTJWwWzUGQqSg9LxygiANJ06wqme2z7MyuU7hEVB/55iBhkd7WlQOF6
EYzishCIdZcWbndtD8eFYRXI9sTd8dkFTLCsKpxYYWDvu4sOBrReaBSd4CMM7XySYuu1FezoU3eA
G12wEE0FK3cKTM+P7HR7wqaC6/LUDjFY5GFVyIE4jixdAV0tqxCUXpDdl44GSqXLj3uW+Jw5khDI
CJcf93y4czhomgJlOI8tT56tKOwuK923dlhQMHCSCobFZL2yUtnYhs6n/MiXFlVnsjY0FEj30o1p
RlE4fTO0dFkJ971gYU2LU1Yg40uXcz22IUCxC+Gfhgo5Jyt7NgiS0MnXLPN7GwqO+KvAGyETadym
gmPtKvCtQri3qWCLXImzXZqsgAOXVYsn8hyaocAeJrW5tOSzQsXVTJ+bgtWjqXANb0jEJo4lR9lU
hP8/BNxy8saD2qH80okdbRcH1hQocD87NUPXl3IWugqvoz8vxIhJoymQxMLCoQtH+UiZM6OrEPHS
HsmXh64iRNpfuvF6k12Up6xgQ99NRRheMi5JNOePeX3M6jHkduH6ziiQ3UbB6Fv2HPqIcTVE77qU
heSjZct4MMH6QnubE5kLynZCWaFVeDV9OyyGTQ0F0iYIZleCTxgvUpyQ5l0qYukbzMmVNbRHRU8P
rJ4Kew6OkGAhSZsqmgYc0fnavl4RP/+rOP73uWYGkELaqphtje6p0BdBOP3c475daA3MJ6nNsqG1
7fkLkQJA2/5TT01qz/bcdeFEeU6wz8e1IBGOrcqHAu6rqcAB7HmVvuUtLKJx+TTFUSJQmGWPqdOE
VMPM8iRDbBeplnx1EuYs8EcCKpRPMbNyVeTurxFwaDmJNGPtYFb9hafqDSiMmTzs81GBfdp5QGcV
gmEEULHsdvv+oDBHHnz9snGpYAcd0eq9oOO5Yr7+4O4EcUSXrYLGKBgXI1i6JXUF3lYnCRN/5Oaz
E9tRENyVPT+6Y0uyUlVYZh/seTLwwP5hLwBaq3SpM5GuXtEXsOzEj+1ZMCTPymOef54CDewCNw4h
cshnLhbg+UzZS26dWRAG0jErOgqWFc8XDFOGj/a/yCgfWUxfRea4a83tykc7HEnX8UGk6gtP8+OJ
S5glljSernSlJdNz0nmcDyPEIKpqyoq798A9HHDueZXTBG9HOlNaz1p9z6sJ3TgpcZeGVWHW9+Kx
G8zl49pQsDtv2fan1qzgibQVxHBOrYG8CdsKlu90XLgGnjfUn1+yXUUA4Fde1bqf/zO2K6M/0VPJ
DaVdp2kKFO3C9lNJzfZUKSRfbU1euoOiVUC5UXlhXIL6jsfS5YJXp2Bcd1CQQkPBZXsFSNixIuzf
fIbi/NFUXCMkFYI4ltVBSaQC12IpncFaU4F8iR0XBlWwi6+4SIfFQLeCLXFlJU81fH8Kp/vCO24z
cjEYq6m45q6CtTh/AWBLuqYiH/9ES66SsshGlW8iTZT8lr2aN8dwlYL2yEry4bJ9ZypQ5KdphkqK
46n+vyWH7dvpcGx7nlySo6tIHD8WYe0U5GWFq2VXsS/CpXIuRFeRPe6LagWrcmkHhRC16JBdetIk
WorFbirQ1/2kAGim7qf8bPcTD5XVt8//HlRug9nnv2UQrJvw83/4Q1cuWqRdvILZJ75bqGsj4Kpg
XMtfFw/orCi5rHLcOUSNJUtLV5GwJ04wBeBWObEiySzSVSS/qbl1Cza9riRAShyGsmTJJICloPzq
/bbjg2ScVWXX7ulWCGW3S1bIuru/VWS/4Tuu3GLMSQllgL/lpXw0SG1p7Qz6umm0gWi0ISyjqHRP
gW9S8CG+XRw2q+z+AQOxe8vYm8+H8L/dSmQV8T/gSnxyiC9QpSDnThVcekck7QeWO5EHVmA0H4UU
hMjGuAIHjdoVx7NGdjTOzxxhh6vA1V2llkA0S8OqmPA4KS6aApOiQyRfPi8F+2fZO4kA9SAYyWum
wqDoh27lkqIjyVRREbuhelTOvaiwUEhbOpUL8X/9ow+5UDNvr6Zg5c4pqPDtgpmpURFbevUYWV46
TYUD8taay0eDpqLY7SINnZSGPYWh6wrstQ0Q5CIohLrpdF1exBv/dM/YChTjgvrd6XhXJAr29aUl
Z4fAkpSXBVAbK9jZIoIztuwxBLSJVG1Bl1X4CIQMR+5CjltoLQV3HQNbaXFPq0gKXdtzOWIBc3R5
Ad+AngBKvw9vpLWVjD/dMVXovKxg4hBgufM52bEoHyy7/g8SpbwwkNoHBWjNOTakkTUF2nE7ttwi
vFfXFezrW2vi7koaxyl/hdcDG24tF1xDPs7GxlIxY0ILwiwsHnO6ihPpbj2w94hDBa7+o2vHIIMk
eag46t5RBxksKucx0Ix55a+VHhlgulc/7sztx2lNOPfyP7x+XR8feJH4VjTGm/9rJf9Pd99DjYYK
QH5/DsrCS/edN/A4qbB9rtzRCHRpz4riXEZCZzdcI09fSJwiX8gwD9WrPkqtP3an8EP5SO3Lf25K
u7cfCssbNFEKoqnZrWKxQKHr/fe//Fs0tVKrchqmpACZwRlZ7JmVr5p0HgLDpO2AgqjMrQuypEqG
VE4LQtJOh04Fzich+ak1zdU9+uuxawUp/pJbeQ9SyZKijyadPelikEv69VvgOJiOAgR4a01xI10Z
7mcagjJNweJdWIkbulJ9LOz5dFUQBJllLaQbq+q51SGlp9UoSvLxNj5K9gwFa0/FhLNnZAVn0KU1
j8cFs2Yjmmcvrm8XWPrCrFQ2uLT9CkKJ/1fgzUdhMpC8bQVm+RGBaTC3WRKmY4UDMkjb+qEAigFE
k25QMkhThQEmZgtyWjojVVQECIgSHFEghqWhVTjIXSulwmrfjanCnOkWtEMFHuM4mJF+kYlUVRgP
+bj7AYgqvDdI8orceyqK78DVj6CuS+RMpQrEwBmsUVKyhL4r+VZ8/b34Fj0urJ+mgnPoygpFYq4I
I1EBURVFUJHIvktWn6YClXoDQUAciFoOyQrRVfAObVgOL9w4jrLT9NqmoWa+gBuHVsE1u3nKZTKU
Iym6kpOPSkp3ZI2y6d8GA6hnpfmrKEe/xVfcyKeLXgbRvsNQV0GRshHURxf+CsgnRSGWgJxvToWd
UIMKEF9HYMGiceWjGzru3kMeQqVcnq/f0Hf9g09QcGHTRtAqIEh1FSVJXcqGiC7mIsi2hArTv2/J
VpFuKDDGCRzFlR6MRuAPEnkbqwCfbbQTEyYef/6bZ8/SbanQkSv/9fV6kr3AlcUT5Lpgsu8qYpib
F9jcApU/b3hi/pLPWixtHdrhZx2WbbO5JyAS8L7/MUVW+6i6yzoB32HR1YatHXY3axZIhr0KFetA
i1P0F1RobuAFs2DvCaoildQNxLXz5wubYlHf+cu+C0jFdZBlrASxHnvEpYpg33NUkHh0g2C6d+xn
3e7nKxVO3IlkkapIU5xAVCBoMHOW5qx43B2Gu/nTg4THL4zxneAFDMcVmDjSnfysitLSx/GzFKJY
bGFn4FJv+kSI9HiBlV1B4gEPRApZq2BWPbMhpXjUouwdrobHWAFe/jfpAoRrMT/oX389XRBHG3C3
5iNlYS4VeM/uOCQRgfP++DryAxTM/NpeVrqWt4eRQAVNw7VbAOarqOb6aPmUockhRRVG0jUFEPKo
KvasEPBvNslXmTEQxoR8LV+vdjduPMS43Xu50OFCwQOsOdE08Qp7yrzURInp7pfPM9s1pgKl5pKK
iN7uzx6roA3Y2ItntkdU5u8rRxFeWUT/242rKXYscTEyIN3EH0t2Co1H8pd9/arfBlM45iSp0SBW
xbhkl/NhMn9GBR7lNoElqDBZBZr5M8vrblzvkyQmVShNXEWwcMfI1FXkXLoCHCDCNvmm3Z53Ey/D
MOh00oS2pUaWRwVv1912FwmaVfhBWHmXkOvEXtxrahkiv1SDLbndbpv0/nm+sPfbOT6CzsX8Efkl
BPtwsapGBckYhvynwMtt7G3lo5e2Tl8OWm9DGdRGB58vOf52677pePUDurihIxKv8nGm4tLogFYr
MGeqoLTqhNZaLrUQHSfL5o67YKjsfBhxE6kACnSFI14o61GBj+kNSaLIlEcq2gw9+mLYXYWifRVF
MieWNxUW6b7z3zBzyb/eRDlNQKpLVzLAgvLD9oGZAHGSVENTwQwt0IbkjdN8ipkl2m7mv75eEDd2
0aVQkDW5C5PiZHUVO+Qj1adrWllJC0fTtefE8O2ugX3NA8teCttvIxb+UAj3D4ru7ulc+Me+5Sa4
Jo7lL71d8wkcwqSd2gHZI0mdVGB3PyRRAcisq0gu337+L4pKU+l0oZXf96v9+1pM5suSrdWj+h6I
5O90Hfz+tH9fb8sf8C33NNb88d5yXx/P7+wttzdAnsST+1iLbww9Ysw//Q8AAAD//w==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
  <cs:dataPoint3D>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spPr>
      <a:ln w="9525" cap="flat" cmpd="sng" algn="ctr">
        <a:solidFill>
          <a:schemeClr val="tx1">
            <a:lumMod val="5000"/>
            <a:lumOff val="9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9922</xdr:rowOff>
    </xdr:from>
    <xdr:to>
      <xdr:col>28</xdr:col>
      <xdr:colOff>489857</xdr:colOff>
      <xdr:row>50</xdr:row>
      <xdr:rowOff>145142</xdr:rowOff>
    </xdr:to>
    <xdr:sp macro="" textlink="">
      <xdr:nvSpPr>
        <xdr:cNvPr id="18" name="Rectangle 17">
          <a:extLst>
            <a:ext uri="{FF2B5EF4-FFF2-40B4-BE49-F238E27FC236}">
              <a16:creationId xmlns:a16="http://schemas.microsoft.com/office/drawing/2014/main" id="{4F15F0A1-8104-9187-A834-29EA2B5A6562}"/>
            </a:ext>
          </a:extLst>
        </xdr:cNvPr>
        <xdr:cNvSpPr/>
      </xdr:nvSpPr>
      <xdr:spPr>
        <a:xfrm>
          <a:off x="0" y="9922"/>
          <a:ext cx="17761857" cy="920664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519544</xdr:colOff>
      <xdr:row>0</xdr:row>
      <xdr:rowOff>14432</xdr:rowOff>
    </xdr:from>
    <xdr:to>
      <xdr:col>26</xdr:col>
      <xdr:colOff>127000</xdr:colOff>
      <xdr:row>7</xdr:row>
      <xdr:rowOff>14432</xdr:rowOff>
    </xdr:to>
    <xdr:sp macro="" textlink="">
      <xdr:nvSpPr>
        <xdr:cNvPr id="6" name="Rectangle: Rounded Corners 5">
          <a:extLst>
            <a:ext uri="{FF2B5EF4-FFF2-40B4-BE49-F238E27FC236}">
              <a16:creationId xmlns:a16="http://schemas.microsoft.com/office/drawing/2014/main" id="{D0D90210-F0AD-B3F6-AEFE-59D4752D37DF}"/>
            </a:ext>
          </a:extLst>
        </xdr:cNvPr>
        <xdr:cNvSpPr/>
      </xdr:nvSpPr>
      <xdr:spPr>
        <a:xfrm>
          <a:off x="1753258" y="14432"/>
          <a:ext cx="14412028" cy="1270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tx2">
                  <a:lumMod val="90000"/>
                  <a:lumOff val="10000"/>
                </a:schemeClr>
              </a:solidFill>
              <a:latin typeface="Lucida Calligraphy" panose="03010101010101010101" pitchFamily="66" charset="0"/>
            </a:rPr>
            <a:t>AFRICAN</a:t>
          </a:r>
          <a:r>
            <a:rPr lang="en-US" sz="2800" b="1" baseline="0">
              <a:solidFill>
                <a:schemeClr val="tx2">
                  <a:lumMod val="90000"/>
                  <a:lumOff val="10000"/>
                </a:schemeClr>
              </a:solidFill>
              <a:latin typeface="Lucida Calligraphy" panose="03010101010101010101" pitchFamily="66" charset="0"/>
            </a:rPr>
            <a:t> CAR SALES DASHBOARD</a:t>
          </a:r>
          <a:endParaRPr lang="en-US" sz="2800" b="1">
            <a:solidFill>
              <a:schemeClr val="tx2">
                <a:lumMod val="90000"/>
                <a:lumOff val="10000"/>
              </a:schemeClr>
            </a:solidFill>
            <a:latin typeface="Lucida Calligraphy" panose="03010101010101010101" pitchFamily="66" charset="0"/>
          </a:endParaRPr>
        </a:p>
      </xdr:txBody>
    </xdr:sp>
    <xdr:clientData/>
  </xdr:twoCellAnchor>
  <xdr:twoCellAnchor>
    <xdr:from>
      <xdr:col>6</xdr:col>
      <xdr:colOff>490695</xdr:colOff>
      <xdr:row>7</xdr:row>
      <xdr:rowOff>36947</xdr:rowOff>
    </xdr:from>
    <xdr:to>
      <xdr:col>10</xdr:col>
      <xdr:colOff>389672</xdr:colOff>
      <xdr:row>12</xdr:row>
      <xdr:rowOff>173183</xdr:rowOff>
    </xdr:to>
    <xdr:sp macro="" textlink="">
      <xdr:nvSpPr>
        <xdr:cNvPr id="7" name="Rectangle: Rounded Corners 6">
          <a:extLst>
            <a:ext uri="{FF2B5EF4-FFF2-40B4-BE49-F238E27FC236}">
              <a16:creationId xmlns:a16="http://schemas.microsoft.com/office/drawing/2014/main" id="{45E6F71D-9BC2-4458-B84A-400582CFCB4D}"/>
            </a:ext>
          </a:extLst>
        </xdr:cNvPr>
        <xdr:cNvSpPr/>
      </xdr:nvSpPr>
      <xdr:spPr>
        <a:xfrm>
          <a:off x="4127513" y="1350242"/>
          <a:ext cx="2323523" cy="1074305"/>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Total Car Sold</a:t>
          </a:r>
        </a:p>
      </xdr:txBody>
    </xdr:sp>
    <xdr:clientData/>
  </xdr:twoCellAnchor>
  <xdr:twoCellAnchor>
    <xdr:from>
      <xdr:col>3</xdr:col>
      <xdr:colOff>22449</xdr:colOff>
      <xdr:row>13</xdr:row>
      <xdr:rowOff>49710</xdr:rowOff>
    </xdr:from>
    <xdr:to>
      <xdr:col>10</xdr:col>
      <xdr:colOff>553219</xdr:colOff>
      <xdr:row>30</xdr:row>
      <xdr:rowOff>49710</xdr:rowOff>
    </xdr:to>
    <xdr:sp macro="" textlink="">
      <xdr:nvSpPr>
        <xdr:cNvPr id="8" name="Rectangle: Rounded Corners 7">
          <a:extLst>
            <a:ext uri="{FF2B5EF4-FFF2-40B4-BE49-F238E27FC236}">
              <a16:creationId xmlns:a16="http://schemas.microsoft.com/office/drawing/2014/main" id="{2727FBCE-006D-4B23-8495-28CA3567E768}"/>
            </a:ext>
          </a:extLst>
        </xdr:cNvPr>
        <xdr:cNvSpPr/>
      </xdr:nvSpPr>
      <xdr:spPr>
        <a:xfrm>
          <a:off x="1874532" y="2342766"/>
          <a:ext cx="4852298" cy="299861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2</xdr:col>
      <xdr:colOff>542057</xdr:colOff>
      <xdr:row>7</xdr:row>
      <xdr:rowOff>45027</xdr:rowOff>
    </xdr:from>
    <xdr:to>
      <xdr:col>6</xdr:col>
      <xdr:colOff>447387</xdr:colOff>
      <xdr:row>12</xdr:row>
      <xdr:rowOff>181263</xdr:rowOff>
    </xdr:to>
    <xdr:sp macro="" textlink="">
      <xdr:nvSpPr>
        <xdr:cNvPr id="11" name="Rectangle: Rounded Corners 10">
          <a:extLst>
            <a:ext uri="{FF2B5EF4-FFF2-40B4-BE49-F238E27FC236}">
              <a16:creationId xmlns:a16="http://schemas.microsoft.com/office/drawing/2014/main" id="{813F360C-419C-4390-A49F-F2E5E52F0812}"/>
            </a:ext>
          </a:extLst>
        </xdr:cNvPr>
        <xdr:cNvSpPr/>
      </xdr:nvSpPr>
      <xdr:spPr>
        <a:xfrm>
          <a:off x="1754330" y="1358322"/>
          <a:ext cx="2329875" cy="1074305"/>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Number</a:t>
          </a:r>
          <a:r>
            <a:rPr lang="en-US" sz="1400" b="1" baseline="0">
              <a:solidFill>
                <a:schemeClr val="tx1"/>
              </a:solidFill>
              <a:latin typeface="+mn-lt"/>
              <a:ea typeface="+mn-ea"/>
              <a:cs typeface="+mn-cs"/>
            </a:rPr>
            <a:t> of Customers</a:t>
          </a:r>
        </a:p>
        <a:p>
          <a:pPr marL="0" indent="0" algn="l"/>
          <a:endParaRPr lang="en-US" sz="1100" baseline="0">
            <a:solidFill>
              <a:schemeClr val="tx1"/>
            </a:solidFill>
            <a:latin typeface="+mn-lt"/>
            <a:ea typeface="+mn-ea"/>
            <a:cs typeface="+mn-cs"/>
          </a:endParaRPr>
        </a:p>
        <a:p>
          <a:pPr marL="0" indent="0" algn="l"/>
          <a:endParaRPr lang="en-US" sz="1100">
            <a:solidFill>
              <a:schemeClr val="tx1"/>
            </a:solidFill>
            <a:latin typeface="+mn-lt"/>
            <a:ea typeface="+mn-ea"/>
            <a:cs typeface="+mn-cs"/>
          </a:endParaRPr>
        </a:p>
      </xdr:txBody>
    </xdr:sp>
    <xdr:clientData/>
  </xdr:twoCellAnchor>
  <xdr:twoCellAnchor>
    <xdr:from>
      <xdr:col>14</xdr:col>
      <xdr:colOff>375266</xdr:colOff>
      <xdr:row>7</xdr:row>
      <xdr:rowOff>45028</xdr:rowOff>
    </xdr:from>
    <xdr:to>
      <xdr:col>18</xdr:col>
      <xdr:colOff>274243</xdr:colOff>
      <xdr:row>12</xdr:row>
      <xdr:rowOff>181264</xdr:rowOff>
    </xdr:to>
    <xdr:sp macro="" textlink="">
      <xdr:nvSpPr>
        <xdr:cNvPr id="12" name="Rectangle: Rounded Corners 11">
          <a:extLst>
            <a:ext uri="{FF2B5EF4-FFF2-40B4-BE49-F238E27FC236}">
              <a16:creationId xmlns:a16="http://schemas.microsoft.com/office/drawing/2014/main" id="{8670540A-0E27-41BA-AF8A-0C81811A9470}"/>
            </a:ext>
          </a:extLst>
        </xdr:cNvPr>
        <xdr:cNvSpPr/>
      </xdr:nvSpPr>
      <xdr:spPr>
        <a:xfrm>
          <a:off x="9011266" y="1315028"/>
          <a:ext cx="2366406" cy="1043379"/>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Total Revenue</a:t>
          </a:r>
        </a:p>
      </xdr:txBody>
    </xdr:sp>
    <xdr:clientData/>
  </xdr:twoCellAnchor>
  <xdr:twoCellAnchor>
    <xdr:from>
      <xdr:col>10</xdr:col>
      <xdr:colOff>432980</xdr:colOff>
      <xdr:row>7</xdr:row>
      <xdr:rowOff>38679</xdr:rowOff>
    </xdr:from>
    <xdr:to>
      <xdr:col>14</xdr:col>
      <xdr:colOff>331958</xdr:colOff>
      <xdr:row>12</xdr:row>
      <xdr:rowOff>174915</xdr:rowOff>
    </xdr:to>
    <xdr:sp macro="" textlink="">
      <xdr:nvSpPr>
        <xdr:cNvPr id="13" name="Rectangle: Rounded Corners 12">
          <a:extLst>
            <a:ext uri="{FF2B5EF4-FFF2-40B4-BE49-F238E27FC236}">
              <a16:creationId xmlns:a16="http://schemas.microsoft.com/office/drawing/2014/main" id="{9F699092-0FA7-4B8A-B7F6-5A88145094AB}"/>
            </a:ext>
          </a:extLst>
        </xdr:cNvPr>
        <xdr:cNvSpPr/>
      </xdr:nvSpPr>
      <xdr:spPr>
        <a:xfrm>
          <a:off x="6494344" y="1351974"/>
          <a:ext cx="2323523" cy="1074305"/>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Total Profit</a:t>
          </a:r>
        </a:p>
      </xdr:txBody>
    </xdr:sp>
    <xdr:clientData/>
  </xdr:twoCellAnchor>
  <xdr:twoCellAnchor>
    <xdr:from>
      <xdr:col>10</xdr:col>
      <xdr:colOff>461818</xdr:colOff>
      <xdr:row>13</xdr:row>
      <xdr:rowOff>28865</xdr:rowOff>
    </xdr:from>
    <xdr:to>
      <xdr:col>18</xdr:col>
      <xdr:colOff>288636</xdr:colOff>
      <xdr:row>29</xdr:row>
      <xdr:rowOff>57729</xdr:rowOff>
    </xdr:to>
    <xdr:sp macro="" textlink="">
      <xdr:nvSpPr>
        <xdr:cNvPr id="15" name="Rectangle: Rounded Corners 14">
          <a:extLst>
            <a:ext uri="{FF2B5EF4-FFF2-40B4-BE49-F238E27FC236}">
              <a16:creationId xmlns:a16="http://schemas.microsoft.com/office/drawing/2014/main" id="{B2710440-94BB-4DF3-A951-1ADA8E433945}"/>
            </a:ext>
          </a:extLst>
        </xdr:cNvPr>
        <xdr:cNvSpPr/>
      </xdr:nvSpPr>
      <xdr:spPr>
        <a:xfrm>
          <a:off x="6523182" y="2467842"/>
          <a:ext cx="4675909" cy="3030682"/>
        </a:xfrm>
        <a:prstGeom prst="roundRect">
          <a:avLst>
            <a:gd name="adj" fmla="val 1030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18</xdr:col>
      <xdr:colOff>282222</xdr:colOff>
      <xdr:row>12</xdr:row>
      <xdr:rowOff>168610</xdr:rowOff>
    </xdr:from>
    <xdr:to>
      <xdr:col>26</xdr:col>
      <xdr:colOff>123472</xdr:colOff>
      <xdr:row>28</xdr:row>
      <xdr:rowOff>70556</xdr:rowOff>
    </xdr:to>
    <xdr:sp macro="" textlink="">
      <xdr:nvSpPr>
        <xdr:cNvPr id="16" name="Rectangle: Rounded Corners 15">
          <a:extLst>
            <a:ext uri="{FF2B5EF4-FFF2-40B4-BE49-F238E27FC236}">
              <a16:creationId xmlns:a16="http://schemas.microsoft.com/office/drawing/2014/main" id="{122D39AD-BF5B-402D-A9F3-42E215C29E9C}"/>
            </a:ext>
          </a:extLst>
        </xdr:cNvPr>
        <xdr:cNvSpPr/>
      </xdr:nvSpPr>
      <xdr:spPr>
        <a:xfrm>
          <a:off x="11394722" y="2285277"/>
          <a:ext cx="4780139" cy="272416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2</xdr:col>
      <xdr:colOff>552280</xdr:colOff>
      <xdr:row>30</xdr:row>
      <xdr:rowOff>105834</xdr:rowOff>
    </xdr:from>
    <xdr:to>
      <xdr:col>10</xdr:col>
      <xdr:colOff>420900</xdr:colOff>
      <xdr:row>51</xdr:row>
      <xdr:rowOff>54429</xdr:rowOff>
    </xdr:to>
    <xdr:sp macro="" textlink="">
      <xdr:nvSpPr>
        <xdr:cNvPr id="17" name="Rectangle: Rounded Corners 16">
          <a:extLst>
            <a:ext uri="{FF2B5EF4-FFF2-40B4-BE49-F238E27FC236}">
              <a16:creationId xmlns:a16="http://schemas.microsoft.com/office/drawing/2014/main" id="{16CB0D4B-826F-47A5-BD18-A0EB29A8817A}"/>
            </a:ext>
          </a:extLst>
        </xdr:cNvPr>
        <xdr:cNvSpPr/>
      </xdr:nvSpPr>
      <xdr:spPr>
        <a:xfrm>
          <a:off x="1785994" y="5548691"/>
          <a:ext cx="4803477" cy="375859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0</xdr:col>
      <xdr:colOff>0</xdr:colOff>
      <xdr:row>0</xdr:row>
      <xdr:rowOff>0</xdr:rowOff>
    </xdr:from>
    <xdr:to>
      <xdr:col>2</xdr:col>
      <xdr:colOff>505113</xdr:colOff>
      <xdr:row>50</xdr:row>
      <xdr:rowOff>119063</xdr:rowOff>
    </xdr:to>
    <xdr:sp macro="" textlink="">
      <xdr:nvSpPr>
        <xdr:cNvPr id="19" name="Rectangle: Rounded Corners 18">
          <a:extLst>
            <a:ext uri="{FF2B5EF4-FFF2-40B4-BE49-F238E27FC236}">
              <a16:creationId xmlns:a16="http://schemas.microsoft.com/office/drawing/2014/main" id="{BBA511A2-4767-46A7-B051-D6E411646764}"/>
            </a:ext>
          </a:extLst>
        </xdr:cNvPr>
        <xdr:cNvSpPr/>
      </xdr:nvSpPr>
      <xdr:spPr>
        <a:xfrm>
          <a:off x="0" y="0"/>
          <a:ext cx="1715582" cy="95448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259835</xdr:colOff>
      <xdr:row>7</xdr:row>
      <xdr:rowOff>24184</xdr:rowOff>
    </xdr:from>
    <xdr:to>
      <xdr:col>26</xdr:col>
      <xdr:colOff>158813</xdr:colOff>
      <xdr:row>12</xdr:row>
      <xdr:rowOff>149195</xdr:rowOff>
    </xdr:to>
    <xdr:sp macro="" textlink="">
      <xdr:nvSpPr>
        <xdr:cNvPr id="21" name="Rectangle: Rounded Corners 20">
          <a:extLst>
            <a:ext uri="{FF2B5EF4-FFF2-40B4-BE49-F238E27FC236}">
              <a16:creationId xmlns:a16="http://schemas.microsoft.com/office/drawing/2014/main" id="{FDC901C9-D146-4FAB-BC20-1956C688EB62}"/>
            </a:ext>
          </a:extLst>
        </xdr:cNvPr>
        <xdr:cNvSpPr/>
      </xdr:nvSpPr>
      <xdr:spPr>
        <a:xfrm>
          <a:off x="13841779" y="1258906"/>
          <a:ext cx="2368423" cy="1006956"/>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Average Profit Margin</a:t>
          </a:r>
        </a:p>
      </xdr:txBody>
    </xdr:sp>
    <xdr:clientData/>
  </xdr:twoCellAnchor>
  <xdr:twoCellAnchor>
    <xdr:from>
      <xdr:col>18</xdr:col>
      <xdr:colOff>317551</xdr:colOff>
      <xdr:row>7</xdr:row>
      <xdr:rowOff>46698</xdr:rowOff>
    </xdr:from>
    <xdr:to>
      <xdr:col>22</xdr:col>
      <xdr:colOff>216528</xdr:colOff>
      <xdr:row>12</xdr:row>
      <xdr:rowOff>171709</xdr:rowOff>
    </xdr:to>
    <xdr:sp macro="" textlink="">
      <xdr:nvSpPr>
        <xdr:cNvPr id="23" name="Rectangle: Rounded Corners 22">
          <a:extLst>
            <a:ext uri="{FF2B5EF4-FFF2-40B4-BE49-F238E27FC236}">
              <a16:creationId xmlns:a16="http://schemas.microsoft.com/office/drawing/2014/main" id="{D34CFFD4-AA67-431B-8542-B9FE8D04CF0E}"/>
            </a:ext>
          </a:extLst>
        </xdr:cNvPr>
        <xdr:cNvSpPr/>
      </xdr:nvSpPr>
      <xdr:spPr>
        <a:xfrm>
          <a:off x="11420980" y="1316698"/>
          <a:ext cx="2366405" cy="1032154"/>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tx1"/>
              </a:solidFill>
              <a:latin typeface="+mn-lt"/>
              <a:ea typeface="+mn-ea"/>
              <a:cs typeface="+mn-cs"/>
            </a:rPr>
            <a:t>Average Variance</a:t>
          </a:r>
        </a:p>
      </xdr:txBody>
    </xdr:sp>
    <xdr:clientData/>
  </xdr:twoCellAnchor>
  <xdr:twoCellAnchor editAs="oneCell">
    <xdr:from>
      <xdr:col>15</xdr:col>
      <xdr:colOff>447387</xdr:colOff>
      <xdr:row>0</xdr:row>
      <xdr:rowOff>0</xdr:rowOff>
    </xdr:from>
    <xdr:to>
      <xdr:col>20</xdr:col>
      <xdr:colOff>95250</xdr:colOff>
      <xdr:row>7</xdr:row>
      <xdr:rowOff>28864</xdr:rowOff>
    </xdr:to>
    <xdr:pic>
      <xdr:nvPicPr>
        <xdr:cNvPr id="25" name="Picture 24">
          <a:extLst>
            <a:ext uri="{FF2B5EF4-FFF2-40B4-BE49-F238E27FC236}">
              <a16:creationId xmlns:a16="http://schemas.microsoft.com/office/drawing/2014/main" id="{B5264826-07B1-94BE-435E-4278DDDECE9D}"/>
            </a:ext>
          </a:extLst>
        </xdr:cNvPr>
        <xdr:cNvPicPr>
          <a:picLocks noChangeAspect="1"/>
        </xdr:cNvPicPr>
      </xdr:nvPicPr>
      <xdr:blipFill>
        <a:blip xmlns:r="http://schemas.openxmlformats.org/officeDocument/2006/relationships" r:embed="rId1"/>
        <a:stretch>
          <a:fillRect/>
        </a:stretch>
      </xdr:blipFill>
      <xdr:spPr>
        <a:xfrm>
          <a:off x="9496137" y="0"/>
          <a:ext cx="2664113" cy="1362364"/>
        </a:xfrm>
        <a:prstGeom prst="rect">
          <a:avLst/>
        </a:prstGeom>
      </xdr:spPr>
    </xdr:pic>
    <xdr:clientData/>
  </xdr:twoCellAnchor>
  <xdr:twoCellAnchor>
    <xdr:from>
      <xdr:col>3</xdr:col>
      <xdr:colOff>303069</xdr:colOff>
      <xdr:row>9</xdr:row>
      <xdr:rowOff>72158</xdr:rowOff>
    </xdr:from>
    <xdr:to>
      <xdr:col>4</xdr:col>
      <xdr:colOff>505115</xdr:colOff>
      <xdr:row>11</xdr:row>
      <xdr:rowOff>72158</xdr:rowOff>
    </xdr:to>
    <xdr:sp macro="" textlink="'Pivot Tables'!A4:A4">
      <xdr:nvSpPr>
        <xdr:cNvPr id="26" name="TextBox 25">
          <a:extLst>
            <a:ext uri="{FF2B5EF4-FFF2-40B4-BE49-F238E27FC236}">
              <a16:creationId xmlns:a16="http://schemas.microsoft.com/office/drawing/2014/main" id="{6C32AC4D-CD8A-4124-7666-22D27F8C0DDE}"/>
            </a:ext>
          </a:extLst>
        </xdr:cNvPr>
        <xdr:cNvSpPr txBox="1"/>
      </xdr:nvSpPr>
      <xdr:spPr>
        <a:xfrm>
          <a:off x="2121478" y="1760681"/>
          <a:ext cx="808182" cy="375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3FB16E-1FD2-4F4F-9B2B-FCBECB5131DB}" type="TxLink">
            <a:rPr lang="en-US" sz="1600" b="1" i="0" u="none" strike="noStrike">
              <a:solidFill>
                <a:srgbClr val="000000"/>
              </a:solidFill>
              <a:latin typeface="Algerian" panose="04020705040A02060702" pitchFamily="82" charset="0"/>
              <a:cs typeface="AngsanaUPC" panose="020B0502040204020203" pitchFamily="18" charset="-34"/>
            </a:rPr>
            <a:pPr algn="ctr"/>
            <a:t>140</a:t>
          </a:fld>
          <a:endParaRPr lang="en-US" sz="1600" b="1">
            <a:latin typeface="Algerian" panose="04020705040A02060702" pitchFamily="82" charset="0"/>
            <a:cs typeface="AngsanaUPC" panose="020B0502040204020203" pitchFamily="18" charset="-34"/>
          </a:endParaRPr>
        </a:p>
      </xdr:txBody>
    </xdr:sp>
    <xdr:clientData/>
  </xdr:twoCellAnchor>
  <xdr:twoCellAnchor>
    <xdr:from>
      <xdr:col>7</xdr:col>
      <xdr:colOff>210127</xdr:colOff>
      <xdr:row>9</xdr:row>
      <xdr:rowOff>109105</xdr:rowOff>
    </xdr:from>
    <xdr:to>
      <xdr:col>8</xdr:col>
      <xdr:colOff>404091</xdr:colOff>
      <xdr:row>11</xdr:row>
      <xdr:rowOff>86591</xdr:rowOff>
    </xdr:to>
    <xdr:sp macro="" textlink="'Pivot Tables'!A19:A19">
      <xdr:nvSpPr>
        <xdr:cNvPr id="27" name="TextBox 26">
          <a:extLst>
            <a:ext uri="{FF2B5EF4-FFF2-40B4-BE49-F238E27FC236}">
              <a16:creationId xmlns:a16="http://schemas.microsoft.com/office/drawing/2014/main" id="{2AA7732B-5AEF-4C44-8550-FD90E316185A}"/>
            </a:ext>
          </a:extLst>
        </xdr:cNvPr>
        <xdr:cNvSpPr txBox="1"/>
      </xdr:nvSpPr>
      <xdr:spPr>
        <a:xfrm>
          <a:off x="4453082" y="1797628"/>
          <a:ext cx="800100" cy="352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1DCF88-113B-4973-A89F-A9C98C3EA8AB}" type="TxLink">
            <a:rPr lang="en-US" sz="1600" b="1" i="0" u="none" strike="noStrike">
              <a:solidFill>
                <a:srgbClr val="000000"/>
              </a:solidFill>
              <a:latin typeface="Algerian" panose="04020705040A02060702" pitchFamily="82" charset="0"/>
              <a:ea typeface="+mn-ea"/>
              <a:cs typeface="AngsanaUPC" panose="020B0502040204020203" pitchFamily="18" charset="-34"/>
            </a:rPr>
            <a:pPr marL="0" indent="0" algn="ctr"/>
            <a:t>435</a:t>
          </a:fld>
          <a:endParaRPr lang="en-US" sz="1600" b="1" i="0" u="none" strike="noStrike">
            <a:solidFill>
              <a:srgbClr val="000000"/>
            </a:solidFill>
            <a:latin typeface="Algerian" panose="04020705040A02060702" pitchFamily="82" charset="0"/>
            <a:ea typeface="+mn-ea"/>
            <a:cs typeface="AngsanaUPC" panose="020B0502040204020203" pitchFamily="18" charset="-34"/>
          </a:endParaRPr>
        </a:p>
      </xdr:txBody>
    </xdr:sp>
    <xdr:clientData/>
  </xdr:twoCellAnchor>
  <xdr:twoCellAnchor>
    <xdr:from>
      <xdr:col>11</xdr:col>
      <xdr:colOff>59458</xdr:colOff>
      <xdr:row>9</xdr:row>
      <xdr:rowOff>72158</xdr:rowOff>
    </xdr:from>
    <xdr:to>
      <xdr:col>13</xdr:col>
      <xdr:colOff>187613</xdr:colOff>
      <xdr:row>11</xdr:row>
      <xdr:rowOff>86591</xdr:rowOff>
    </xdr:to>
    <xdr:sp macro="" textlink="'Pivot Tables'!A13:A13">
      <xdr:nvSpPr>
        <xdr:cNvPr id="28" name="TextBox 27">
          <a:extLst>
            <a:ext uri="{FF2B5EF4-FFF2-40B4-BE49-F238E27FC236}">
              <a16:creationId xmlns:a16="http://schemas.microsoft.com/office/drawing/2014/main" id="{E9D25626-FE44-4937-B6B7-F68C043D64D1}"/>
            </a:ext>
          </a:extLst>
        </xdr:cNvPr>
        <xdr:cNvSpPr txBox="1"/>
      </xdr:nvSpPr>
      <xdr:spPr>
        <a:xfrm>
          <a:off x="6726958" y="1760681"/>
          <a:ext cx="1340428" cy="389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25DC49-CDF0-445F-9D81-085EA32A2A49}" type="TxLink">
            <a:rPr lang="en-US" sz="1600" b="1" i="0" u="none" strike="noStrike">
              <a:solidFill>
                <a:srgbClr val="000000"/>
              </a:solidFill>
              <a:latin typeface="Algerian" panose="04020705040A02060702" pitchFamily="82" charset="0"/>
              <a:ea typeface="+mn-ea"/>
              <a:cs typeface="AngsanaUPC" panose="020B0502040204020203" pitchFamily="18" charset="-34"/>
            </a:rPr>
            <a:pPr marL="0" indent="0" algn="ctr"/>
            <a:t> $6,149,108 </a:t>
          </a:fld>
          <a:endParaRPr lang="en-US" sz="1600" b="1" i="0" u="none" strike="noStrike">
            <a:solidFill>
              <a:srgbClr val="000000"/>
            </a:solidFill>
            <a:latin typeface="Algerian" panose="04020705040A02060702" pitchFamily="82" charset="0"/>
            <a:ea typeface="+mn-ea"/>
            <a:cs typeface="AngsanaUPC" panose="020B0502040204020203" pitchFamily="18" charset="-34"/>
          </a:endParaRPr>
        </a:p>
      </xdr:txBody>
    </xdr:sp>
    <xdr:clientData/>
  </xdr:twoCellAnchor>
  <xdr:twoCellAnchor>
    <xdr:from>
      <xdr:col>14</xdr:col>
      <xdr:colOff>572653</xdr:colOff>
      <xdr:row>9</xdr:row>
      <xdr:rowOff>22512</xdr:rowOff>
    </xdr:from>
    <xdr:to>
      <xdr:col>17</xdr:col>
      <xdr:colOff>426603</xdr:colOff>
      <xdr:row>11</xdr:row>
      <xdr:rowOff>94672</xdr:rowOff>
    </xdr:to>
    <xdr:sp macro="" textlink="'Pivot Tables'!A10:A10">
      <xdr:nvSpPr>
        <xdr:cNvPr id="29" name="TextBox 28">
          <a:extLst>
            <a:ext uri="{FF2B5EF4-FFF2-40B4-BE49-F238E27FC236}">
              <a16:creationId xmlns:a16="http://schemas.microsoft.com/office/drawing/2014/main" id="{86ECC265-FF76-4012-A169-02F731B42DE7}"/>
            </a:ext>
          </a:extLst>
        </xdr:cNvPr>
        <xdr:cNvSpPr txBox="1"/>
      </xdr:nvSpPr>
      <xdr:spPr>
        <a:xfrm>
          <a:off x="9058562" y="1711035"/>
          <a:ext cx="1672359" cy="447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4B91DCA-AFC2-4C6D-BB18-5DFD79F19C8E}" type="TxLink">
            <a:rPr lang="en-US" sz="1600" b="1" i="0" u="none" strike="noStrike">
              <a:solidFill>
                <a:srgbClr val="000000"/>
              </a:solidFill>
              <a:latin typeface="Algerian" panose="04020705040A02060702" pitchFamily="82" charset="0"/>
              <a:ea typeface="+mn-ea"/>
              <a:cs typeface="AngsanaUPC" panose="020B0502040204020203" pitchFamily="18" charset="-34"/>
            </a:rPr>
            <a:pPr marL="0" indent="0" algn="ctr"/>
            <a:t> $21,502,108 </a:t>
          </a:fld>
          <a:endParaRPr lang="en-US" sz="1600" b="1" i="0" u="none" strike="noStrike">
            <a:solidFill>
              <a:srgbClr val="000000"/>
            </a:solidFill>
            <a:latin typeface="Algerian" panose="04020705040A02060702" pitchFamily="82" charset="0"/>
            <a:ea typeface="+mn-ea"/>
            <a:cs typeface="AngsanaUPC" panose="020B0502040204020203" pitchFamily="18" charset="-34"/>
          </a:endParaRPr>
        </a:p>
      </xdr:txBody>
    </xdr:sp>
    <xdr:clientData/>
  </xdr:twoCellAnchor>
  <xdr:twoCellAnchor>
    <xdr:from>
      <xdr:col>22</xdr:col>
      <xdr:colOff>490683</xdr:colOff>
      <xdr:row>9</xdr:row>
      <xdr:rowOff>14562</xdr:rowOff>
    </xdr:from>
    <xdr:to>
      <xdr:col>24</xdr:col>
      <xdr:colOff>150862</xdr:colOff>
      <xdr:row>11</xdr:row>
      <xdr:rowOff>72161</xdr:rowOff>
    </xdr:to>
    <xdr:sp macro="" textlink="'Pivot Tables'!A25:A25">
      <xdr:nvSpPr>
        <xdr:cNvPr id="30" name="TextBox 29">
          <a:extLst>
            <a:ext uri="{FF2B5EF4-FFF2-40B4-BE49-F238E27FC236}">
              <a16:creationId xmlns:a16="http://schemas.microsoft.com/office/drawing/2014/main" id="{9CF7224A-6DCD-4352-9772-D0FDE849268E}"/>
            </a:ext>
          </a:extLst>
        </xdr:cNvPr>
        <xdr:cNvSpPr txBox="1"/>
      </xdr:nvSpPr>
      <xdr:spPr>
        <a:xfrm>
          <a:off x="13825683" y="1703085"/>
          <a:ext cx="872452" cy="432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22BB76-5EF7-4282-B76C-CC0BF208C7F2}" type="TxLink">
            <a:rPr lang="en-US" sz="1600" b="1" i="0" u="none" strike="noStrike">
              <a:solidFill>
                <a:srgbClr val="000000"/>
              </a:solidFill>
              <a:latin typeface="Algerian" panose="04020705040A02060702" pitchFamily="82" charset="0"/>
              <a:ea typeface="+mn-ea"/>
              <a:cs typeface="AngsanaUPC" panose="020B0502040204020203" pitchFamily="18" charset="-34"/>
            </a:rPr>
            <a:pPr marL="0" indent="0" algn="ctr"/>
            <a:t>27%</a:t>
          </a:fld>
          <a:endParaRPr lang="en-US" sz="1600" b="1" i="0" u="none" strike="noStrike">
            <a:solidFill>
              <a:srgbClr val="000000"/>
            </a:solidFill>
            <a:latin typeface="Algerian" panose="04020705040A02060702" pitchFamily="82" charset="0"/>
            <a:ea typeface="+mn-ea"/>
            <a:cs typeface="AngsanaUPC" panose="020B0502040204020203" pitchFamily="18" charset="-34"/>
          </a:endParaRPr>
        </a:p>
      </xdr:txBody>
    </xdr:sp>
    <xdr:clientData/>
  </xdr:twoCellAnchor>
  <xdr:twoCellAnchor>
    <xdr:from>
      <xdr:col>18</xdr:col>
      <xdr:colOff>508513</xdr:colOff>
      <xdr:row>9</xdr:row>
      <xdr:rowOff>22640</xdr:rowOff>
    </xdr:from>
    <xdr:to>
      <xdr:col>21</xdr:col>
      <xdr:colOff>93198</xdr:colOff>
      <xdr:row>11</xdr:row>
      <xdr:rowOff>155735</xdr:rowOff>
    </xdr:to>
    <xdr:sp macro="" textlink="'Pivot Tables'!C13:C13">
      <xdr:nvSpPr>
        <xdr:cNvPr id="31" name="TextBox 30">
          <a:extLst>
            <a:ext uri="{FF2B5EF4-FFF2-40B4-BE49-F238E27FC236}">
              <a16:creationId xmlns:a16="http://schemas.microsoft.com/office/drawing/2014/main" id="{7051A052-BAD8-4AB4-A00D-15B21E20A46D}"/>
            </a:ext>
          </a:extLst>
        </xdr:cNvPr>
        <xdr:cNvSpPr txBox="1"/>
      </xdr:nvSpPr>
      <xdr:spPr>
        <a:xfrm>
          <a:off x="11418968" y="1711163"/>
          <a:ext cx="1403094" cy="508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6D7879-BFEF-459B-86AF-81554C4DDC59}" type="TxLink">
            <a:rPr lang="en-US" sz="1600" b="1" i="0" u="none" strike="noStrike">
              <a:solidFill>
                <a:srgbClr val="000000"/>
              </a:solidFill>
              <a:latin typeface="Algerian" panose="04020705040A02060702" pitchFamily="82" charset="0"/>
              <a:ea typeface="+mn-ea"/>
              <a:cs typeface="AngsanaUPC" panose="020B0502040204020203" pitchFamily="18" charset="-34"/>
            </a:rPr>
            <a:pPr marL="0" indent="0" algn="ctr"/>
            <a:t>0.089</a:t>
          </a:fld>
          <a:endParaRPr lang="en-US" sz="1600" b="1" i="0" u="none" strike="noStrike">
            <a:solidFill>
              <a:srgbClr val="000000"/>
            </a:solidFill>
            <a:latin typeface="Algerian" panose="04020705040A02060702" pitchFamily="82" charset="0"/>
            <a:ea typeface="+mn-ea"/>
            <a:cs typeface="AngsanaUPC" panose="020B0502040204020203" pitchFamily="18" charset="-34"/>
          </a:endParaRPr>
        </a:p>
      </xdr:txBody>
    </xdr:sp>
    <xdr:clientData/>
  </xdr:twoCellAnchor>
  <xdr:twoCellAnchor>
    <xdr:from>
      <xdr:col>2</xdr:col>
      <xdr:colOff>592665</xdr:colOff>
      <xdr:row>13</xdr:row>
      <xdr:rowOff>0</xdr:rowOff>
    </xdr:from>
    <xdr:to>
      <xdr:col>10</xdr:col>
      <xdr:colOff>523875</xdr:colOff>
      <xdr:row>30</xdr:row>
      <xdr:rowOff>84666</xdr:rowOff>
    </xdr:to>
    <xdr:graphicFrame macro="">
      <xdr:nvGraphicFramePr>
        <xdr:cNvPr id="4" name="Chart 3">
          <a:extLst>
            <a:ext uri="{FF2B5EF4-FFF2-40B4-BE49-F238E27FC236}">
              <a16:creationId xmlns:a16="http://schemas.microsoft.com/office/drawing/2014/main" id="{F7527D39-71A4-4A6E-80C6-86DA4057E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508000</xdr:colOff>
      <xdr:row>13</xdr:row>
      <xdr:rowOff>1</xdr:rowOff>
    </xdr:from>
    <xdr:to>
      <xdr:col>18</xdr:col>
      <xdr:colOff>357847</xdr:colOff>
      <xdr:row>30</xdr:row>
      <xdr:rowOff>63500</xdr:rowOff>
    </xdr:to>
    <xdr:graphicFrame macro="">
      <xdr:nvGraphicFramePr>
        <xdr:cNvPr id="10" name="Chart 9">
          <a:extLst>
            <a:ext uri="{FF2B5EF4-FFF2-40B4-BE49-F238E27FC236}">
              <a16:creationId xmlns:a16="http://schemas.microsoft.com/office/drawing/2014/main" id="{A3AFC1B7-FF4C-4586-BF83-1D684FE1D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306916</xdr:colOff>
      <xdr:row>30</xdr:row>
      <xdr:rowOff>132290</xdr:rowOff>
    </xdr:from>
    <xdr:to>
      <xdr:col>19</xdr:col>
      <xdr:colOff>13606</xdr:colOff>
      <xdr:row>51</xdr:row>
      <xdr:rowOff>151947</xdr:rowOff>
    </xdr:to>
    <xdr:sp macro="" textlink="">
      <xdr:nvSpPr>
        <xdr:cNvPr id="22" name="Rectangle: Rounded Corners 21">
          <a:extLst>
            <a:ext uri="{FF2B5EF4-FFF2-40B4-BE49-F238E27FC236}">
              <a16:creationId xmlns:a16="http://schemas.microsoft.com/office/drawing/2014/main" id="{CF24EDD5-945E-4F25-AF2B-A98828ED298D}"/>
            </a:ext>
          </a:extLst>
        </xdr:cNvPr>
        <xdr:cNvSpPr/>
      </xdr:nvSpPr>
      <xdr:spPr>
        <a:xfrm>
          <a:off x="6339416" y="5847290"/>
          <a:ext cx="5135940" cy="402015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solidFill>
            <a:latin typeface="+mn-lt"/>
            <a:ea typeface="+mn-ea"/>
            <a:cs typeface="+mn-cs"/>
          </a:endParaRPr>
        </a:p>
      </xdr:txBody>
    </xdr:sp>
    <xdr:clientData/>
  </xdr:twoCellAnchor>
  <xdr:twoCellAnchor>
    <xdr:from>
      <xdr:col>2</xdr:col>
      <xdr:colOff>562864</xdr:colOff>
      <xdr:row>30</xdr:row>
      <xdr:rowOff>92426</xdr:rowOff>
    </xdr:from>
    <xdr:to>
      <xdr:col>10</xdr:col>
      <xdr:colOff>529167</xdr:colOff>
      <xdr:row>51</xdr:row>
      <xdr:rowOff>72572</xdr:rowOff>
    </xdr:to>
    <xdr:graphicFrame macro="">
      <xdr:nvGraphicFramePr>
        <xdr:cNvPr id="34" name="Chart 33">
          <a:extLst>
            <a:ext uri="{FF2B5EF4-FFF2-40B4-BE49-F238E27FC236}">
              <a16:creationId xmlns:a16="http://schemas.microsoft.com/office/drawing/2014/main" id="{330C138D-4C40-4640-BB94-3FC0E72C4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174935</xdr:rowOff>
    </xdr:from>
    <xdr:to>
      <xdr:col>3</xdr:col>
      <xdr:colOff>4435</xdr:colOff>
      <xdr:row>15</xdr:row>
      <xdr:rowOff>178595</xdr:rowOff>
    </xdr:to>
    <mc:AlternateContent xmlns:mc="http://schemas.openxmlformats.org/markup-compatibility/2006" xmlns:a14="http://schemas.microsoft.com/office/drawing/2010/main">
      <mc:Choice Requires="a14">
        <xdr:graphicFrame macro="">
          <xdr:nvGraphicFramePr>
            <xdr:cNvPr id="35" name="Car Make">
              <a:extLst>
                <a:ext uri="{FF2B5EF4-FFF2-40B4-BE49-F238E27FC236}">
                  <a16:creationId xmlns:a16="http://schemas.microsoft.com/office/drawing/2014/main" id="{EA0D24D2-1EB5-15E8-FFE6-2C6D6502FFFF}"/>
                </a:ext>
              </a:extLst>
            </xdr:cNvPr>
            <xdr:cNvGraphicFramePr/>
          </xdr:nvGraphicFramePr>
          <xdr:xfrm>
            <a:off x="0" y="0"/>
            <a:ext cx="0" cy="0"/>
          </xdr:xfrm>
          <a:graphic>
            <a:graphicData uri="http://schemas.microsoft.com/office/drawing/2010/slicer">
              <sle:slicer xmlns:sle="http://schemas.microsoft.com/office/drawing/2010/slicer" name="Car Make"/>
            </a:graphicData>
          </a:graphic>
        </xdr:graphicFrame>
      </mc:Choice>
      <mc:Fallback xmlns="">
        <xdr:sp macro="" textlink="">
          <xdr:nvSpPr>
            <xdr:cNvPr id="0" name=""/>
            <xdr:cNvSpPr>
              <a:spLocks noTextEdit="1"/>
            </xdr:cNvSpPr>
          </xdr:nvSpPr>
          <xdr:spPr>
            <a:xfrm>
              <a:off x="0" y="2079935"/>
              <a:ext cx="1814185" cy="956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659</xdr:rowOff>
    </xdr:from>
    <xdr:to>
      <xdr:col>3</xdr:col>
      <xdr:colOff>4435</xdr:colOff>
      <xdr:row>36</xdr:row>
      <xdr:rowOff>18142</xdr:rowOff>
    </xdr:to>
    <mc:AlternateContent xmlns:mc="http://schemas.openxmlformats.org/markup-compatibility/2006" xmlns:a14="http://schemas.microsoft.com/office/drawing/2010/main">
      <mc:Choice Requires="a14">
        <xdr:graphicFrame macro="">
          <xdr:nvGraphicFramePr>
            <xdr:cNvPr id="36" name="Car Model">
              <a:extLst>
                <a:ext uri="{FF2B5EF4-FFF2-40B4-BE49-F238E27FC236}">
                  <a16:creationId xmlns:a16="http://schemas.microsoft.com/office/drawing/2014/main" id="{B1677822-D813-2824-49DC-ACAF514741DB}"/>
                </a:ext>
              </a:extLst>
            </xdr:cNvPr>
            <xdr:cNvGraphicFramePr/>
          </xdr:nvGraphicFramePr>
          <xdr:xfrm>
            <a:off x="0" y="0"/>
            <a:ext cx="0" cy="0"/>
          </xdr:xfrm>
          <a:graphic>
            <a:graphicData uri="http://schemas.microsoft.com/office/drawing/2010/slicer">
              <sle:slicer xmlns:sle="http://schemas.microsoft.com/office/drawing/2010/slicer" name="Car Model"/>
            </a:graphicData>
          </a:graphic>
        </xdr:graphicFrame>
      </mc:Choice>
      <mc:Fallback xmlns="">
        <xdr:sp macro="" textlink="">
          <xdr:nvSpPr>
            <xdr:cNvPr id="0" name=""/>
            <xdr:cNvSpPr>
              <a:spLocks noTextEdit="1"/>
            </xdr:cNvSpPr>
          </xdr:nvSpPr>
          <xdr:spPr>
            <a:xfrm>
              <a:off x="0" y="4001159"/>
              <a:ext cx="1814185" cy="2874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0</xdr:row>
      <xdr:rowOff>14432</xdr:rowOff>
    </xdr:from>
    <xdr:to>
      <xdr:col>3</xdr:col>
      <xdr:colOff>1544</xdr:colOff>
      <xdr:row>10</xdr:row>
      <xdr:rowOff>139360</xdr:rowOff>
    </xdr:to>
    <mc:AlternateContent xmlns:mc="http://schemas.openxmlformats.org/markup-compatibility/2006" xmlns:a14="http://schemas.microsoft.com/office/drawing/2010/main">
      <mc:Choice Requires="a14">
        <xdr:graphicFrame macro="">
          <xdr:nvGraphicFramePr>
            <xdr:cNvPr id="37" name="Car Year">
              <a:extLst>
                <a:ext uri="{FF2B5EF4-FFF2-40B4-BE49-F238E27FC236}">
                  <a16:creationId xmlns:a16="http://schemas.microsoft.com/office/drawing/2014/main" id="{22829375-B136-66E2-84F6-AB3099A1BFBC}"/>
                </a:ext>
              </a:extLst>
            </xdr:cNvPr>
            <xdr:cNvGraphicFramePr/>
          </xdr:nvGraphicFramePr>
          <xdr:xfrm>
            <a:off x="0" y="0"/>
            <a:ext cx="0" cy="0"/>
          </xdr:xfrm>
          <a:graphic>
            <a:graphicData uri="http://schemas.microsoft.com/office/drawing/2010/slicer">
              <sle:slicer xmlns:sle="http://schemas.microsoft.com/office/drawing/2010/slicer" name="Car Year"/>
            </a:graphicData>
          </a:graphic>
        </xdr:graphicFrame>
      </mc:Choice>
      <mc:Fallback xmlns="">
        <xdr:sp macro="" textlink="">
          <xdr:nvSpPr>
            <xdr:cNvPr id="0" name=""/>
            <xdr:cNvSpPr>
              <a:spLocks noTextEdit="1"/>
            </xdr:cNvSpPr>
          </xdr:nvSpPr>
          <xdr:spPr>
            <a:xfrm>
              <a:off x="12700" y="14432"/>
              <a:ext cx="1798594" cy="202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185959</xdr:rowOff>
    </xdr:from>
    <xdr:to>
      <xdr:col>3</xdr:col>
      <xdr:colOff>4435</xdr:colOff>
      <xdr:row>20</xdr:row>
      <xdr:rowOff>178593</xdr:rowOff>
    </xdr:to>
    <mc:AlternateContent xmlns:mc="http://schemas.openxmlformats.org/markup-compatibility/2006" xmlns:a14="http://schemas.microsoft.com/office/drawing/2010/main">
      <mc:Choice Requires="a14">
        <xdr:graphicFrame macro="">
          <xdr:nvGraphicFramePr>
            <xdr:cNvPr id="38" name="Car Type">
              <a:extLst>
                <a:ext uri="{FF2B5EF4-FFF2-40B4-BE49-F238E27FC236}">
                  <a16:creationId xmlns:a16="http://schemas.microsoft.com/office/drawing/2014/main" id="{45F0D8EE-1A02-0AE7-BF4E-ACEEF494A000}"/>
                </a:ext>
              </a:extLst>
            </xdr:cNvPr>
            <xdr:cNvGraphicFramePr/>
          </xdr:nvGraphicFramePr>
          <xdr:xfrm>
            <a:off x="0" y="0"/>
            <a:ext cx="0" cy="0"/>
          </xdr:xfrm>
          <a:graphic>
            <a:graphicData uri="http://schemas.microsoft.com/office/drawing/2010/slicer">
              <sle:slicer xmlns:sle="http://schemas.microsoft.com/office/drawing/2010/slicer" name="Car Type"/>
            </a:graphicData>
          </a:graphic>
        </xdr:graphicFrame>
      </mc:Choice>
      <mc:Fallback xmlns="">
        <xdr:sp macro="" textlink="">
          <xdr:nvSpPr>
            <xdr:cNvPr id="0" name=""/>
            <xdr:cNvSpPr>
              <a:spLocks noTextEdit="1"/>
            </xdr:cNvSpPr>
          </xdr:nvSpPr>
          <xdr:spPr>
            <a:xfrm>
              <a:off x="0" y="3043459"/>
              <a:ext cx="1814185" cy="945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169137</xdr:rowOff>
    </xdr:from>
    <xdr:to>
      <xdr:col>3</xdr:col>
      <xdr:colOff>4435</xdr:colOff>
      <xdr:row>45</xdr:row>
      <xdr:rowOff>167106</xdr:rowOff>
    </xdr:to>
    <mc:AlternateContent xmlns:mc="http://schemas.openxmlformats.org/markup-compatibility/2006" xmlns:a14="http://schemas.microsoft.com/office/drawing/2010/main">
      <mc:Choice Requires="a14">
        <xdr:graphicFrame macro="">
          <xdr:nvGraphicFramePr>
            <xdr:cNvPr id="39" name="Country">
              <a:extLst>
                <a:ext uri="{FF2B5EF4-FFF2-40B4-BE49-F238E27FC236}">
                  <a16:creationId xmlns:a16="http://schemas.microsoft.com/office/drawing/2014/main" id="{991DAD37-7E6B-15C5-1386-952403CCE4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6836637"/>
              <a:ext cx="1814185" cy="1902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571501</xdr:colOff>
      <xdr:row>30</xdr:row>
      <xdr:rowOff>151693</xdr:rowOff>
    </xdr:from>
    <xdr:to>
      <xdr:col>28</xdr:col>
      <xdr:colOff>497417</xdr:colOff>
      <xdr:row>53</xdr:row>
      <xdr:rowOff>31749</xdr:rowOff>
    </xdr:to>
    <xdr:sp macro="" textlink="">
      <xdr:nvSpPr>
        <xdr:cNvPr id="44" name="Rectangle 43">
          <a:extLst>
            <a:ext uri="{FF2B5EF4-FFF2-40B4-BE49-F238E27FC236}">
              <a16:creationId xmlns:a16="http://schemas.microsoft.com/office/drawing/2014/main" id="{7AAA2DD5-0F5C-A0D4-6114-A4F8EF0CD02B}"/>
            </a:ext>
          </a:extLst>
        </xdr:cNvPr>
        <xdr:cNvSpPr/>
      </xdr:nvSpPr>
      <xdr:spPr>
        <a:xfrm>
          <a:off x="9620251" y="5866693"/>
          <a:ext cx="7768166" cy="426155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444501</xdr:colOff>
      <xdr:row>30</xdr:row>
      <xdr:rowOff>81641</xdr:rowOff>
    </xdr:from>
    <xdr:to>
      <xdr:col>24</xdr:col>
      <xdr:colOff>40319</xdr:colOff>
      <xdr:row>51</xdr:row>
      <xdr:rowOff>18142</xdr:rowOff>
    </xdr:to>
    <xdr:graphicFrame macro="">
      <xdr:nvGraphicFramePr>
        <xdr:cNvPr id="42" name="Chart 41">
          <a:extLst>
            <a:ext uri="{FF2B5EF4-FFF2-40B4-BE49-F238E27FC236}">
              <a16:creationId xmlns:a16="http://schemas.microsoft.com/office/drawing/2014/main" id="{A0F3518C-7D37-4BEF-8345-7950EF26B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359833</xdr:colOff>
      <xdr:row>13</xdr:row>
      <xdr:rowOff>0</xdr:rowOff>
    </xdr:from>
    <xdr:to>
      <xdr:col>26</xdr:col>
      <xdr:colOff>148166</xdr:colOff>
      <xdr:row>30</xdr:row>
      <xdr:rowOff>47625</xdr:rowOff>
    </xdr:to>
    <xdr:graphicFrame macro="">
      <xdr:nvGraphicFramePr>
        <xdr:cNvPr id="45" name="Chart 44">
          <a:extLst>
            <a:ext uri="{FF2B5EF4-FFF2-40B4-BE49-F238E27FC236}">
              <a16:creationId xmlns:a16="http://schemas.microsoft.com/office/drawing/2014/main" id="{ADC30FC3-F7E3-4D7A-8DC2-84FE4D90E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528916</xdr:colOff>
      <xdr:row>30</xdr:row>
      <xdr:rowOff>95251</xdr:rowOff>
    </xdr:from>
    <xdr:to>
      <xdr:col>18</xdr:col>
      <xdr:colOff>444500</xdr:colOff>
      <xdr:row>51</xdr:row>
      <xdr:rowOff>1</xdr:rowOff>
    </xdr:to>
    <xdr:graphicFrame macro="">
      <xdr:nvGraphicFramePr>
        <xdr:cNvPr id="2" name="Chart 1">
          <a:extLst>
            <a:ext uri="{FF2B5EF4-FFF2-40B4-BE49-F238E27FC236}">
              <a16:creationId xmlns:a16="http://schemas.microsoft.com/office/drawing/2014/main" id="{F4DE4F30-F010-4C95-AC4D-AE4332DC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24193</xdr:colOff>
      <xdr:row>30</xdr:row>
      <xdr:rowOff>79375</xdr:rowOff>
    </xdr:from>
    <xdr:to>
      <xdr:col>28</xdr:col>
      <xdr:colOff>453572</xdr:colOff>
      <xdr:row>51</xdr:row>
      <xdr:rowOff>54430</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D66D7CA8-ED15-486B-8C04-3582BC698E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502193" y="5794375"/>
              <a:ext cx="2842379" cy="39755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464404050923" createdVersion="8" refreshedVersion="8" minRefreshableVersion="3" recordCount="140" xr:uid="{0AA48740-AF2D-4B97-B835-B261430A5254}">
  <cacheSource type="worksheet">
    <worksheetSource name="Africa_Car_Sales"/>
  </cacheSource>
  <cacheFields count="20">
    <cacheField name="Transaction ID" numFmtId="0">
      <sharedItems/>
    </cacheField>
    <cacheField name="Sale Date" numFmtId="164">
      <sharedItems containsSemiMixedTypes="0" containsNonDate="0" containsDate="1" containsString="0" minDate="2020-01-09T00:00:00" maxDate="2024-12-28T00:00:00"/>
    </cacheField>
    <cacheField name="Full Name" numFmtId="0">
      <sharedItems/>
    </cacheField>
    <cacheField name="Car Make" numFmtId="0">
      <sharedItems count="3">
        <s v="Mercedes"/>
        <s v="Toyota"/>
        <s v="Honda"/>
      </sharedItems>
    </cacheField>
    <cacheField name="Car Model" numFmtId="0">
      <sharedItems count="13">
        <s v="Sprinter"/>
        <s v="GLC"/>
        <s v="C200"/>
        <s v="E350"/>
        <s v="LandCruiser"/>
        <s v="S500"/>
        <s v="Camry"/>
        <s v="GLS"/>
        <s v="A180"/>
        <s v="GLE"/>
        <s v="Accord"/>
        <s v="CR-V"/>
        <s v="CRV"/>
      </sharedItems>
    </cacheField>
    <cacheField name="Car Year" numFmtId="0">
      <sharedItems containsSemiMixedTypes="0" containsString="0" containsNumber="1" containsInteger="1" minValue="2018" maxValue="2024" count="7">
        <n v="2023"/>
        <n v="2022"/>
        <n v="2019"/>
        <n v="2020"/>
        <n v="2024"/>
        <n v="2018"/>
        <n v="2021"/>
      </sharedItems>
    </cacheField>
    <cacheField name="Car Type" numFmtId="0">
      <sharedItems count="3">
        <s v="Van"/>
        <s v="SUV"/>
        <s v="Sedan"/>
      </sharedItems>
    </cacheField>
    <cacheField name="Country" numFmtId="0">
      <sharedItems count="6">
        <s v="Tanzania"/>
        <s v="Nigeria"/>
        <s v="Egypt"/>
        <s v="Ghana"/>
        <s v="South Africa"/>
        <s v="Kenya"/>
      </sharedItems>
    </cacheField>
    <cacheField name="City" numFmtId="0">
      <sharedItems count="19">
        <s v="Dar es Salaam"/>
        <s v="Lagos"/>
        <s v="Alexandria"/>
        <s v="Abuja"/>
        <s v="Accra"/>
        <s v="Johannesburg"/>
        <s v="Tamale"/>
        <s v="Mombasa"/>
        <s v="Giza"/>
        <s v="Port Harcourt"/>
        <s v="Arusha"/>
        <s v="Durban"/>
        <s v="Cairo"/>
        <s v="Cape Town"/>
        <s v="Dodoma"/>
        <s v="Kumasi"/>
        <s v="Kano"/>
        <s v="Kisumu"/>
        <s v="Nairobi"/>
      </sharedItems>
    </cacheField>
    <cacheField name="Units Sold" numFmtId="0">
      <sharedItems containsSemiMixedTypes="0" containsString="0" containsNumber="1" containsInteger="1" minValue="1" maxValue="5"/>
    </cacheField>
    <cacheField name="Cost Price ($)" numFmtId="165">
      <sharedItems containsSemiMixedTypes="0" containsString="0" containsNumber="1" containsInteger="1" minValue="14000" maxValue="70000"/>
    </cacheField>
    <cacheField name="Total Cost Price ($)" numFmtId="165">
      <sharedItems containsSemiMixedTypes="0" containsString="0" containsNumber="1" containsInteger="1" minValue="14000" maxValue="350000"/>
    </cacheField>
    <cacheField name="Sale Price ($)" numFmtId="165">
      <sharedItems containsSemiMixedTypes="0" containsString="0" containsNumber="1" containsInteger="1" minValue="18529" maxValue="250000"/>
    </cacheField>
    <cacheField name="Market Value ($)" numFmtId="165">
      <sharedItems containsSemiMixedTypes="0" containsString="0" containsNumber="1" containsInteger="1" minValue="20000" maxValue="95000"/>
    </cacheField>
    <cacheField name="Revenue($)" numFmtId="165">
      <sharedItems containsSemiMixedTypes="0" containsString="0" containsNumber="1" containsInteger="1" minValue="18529" maxValue="1000000"/>
    </cacheField>
    <cacheField name="Total Profit ($)" numFmtId="165">
      <sharedItems containsSemiMixedTypes="0" containsString="0" containsNumber="1" containsInteger="1" minValue="4529" maxValue="944000"/>
    </cacheField>
    <cacheField name="Profit Margin(%)" numFmtId="9">
      <sharedItems containsSemiMixedTypes="0" containsString="0" containsNumber="1" minValue="0.15335770636905907" maxValue="0.94399999999999995"/>
    </cacheField>
    <cacheField name="Variance" numFmtId="165">
      <sharedItems containsSemiMixedTypes="0" containsString="0" containsNumber="1" containsInteger="1" minValue="-6756" maxValue="230000"/>
    </cacheField>
    <cacheField name="Percentage Variance (%)" numFmtId="166">
      <sharedItems containsSemiMixedTypes="0" containsString="0" containsNumber="1" minValue="-7.9482352941176476E-2" maxValue="11.5"/>
    </cacheField>
    <cacheField name="Image Url" numFmtId="0">
      <sharedItems containsBlank="1"/>
    </cacheField>
  </cacheFields>
  <extLst>
    <ext xmlns:x14="http://schemas.microsoft.com/office/spreadsheetml/2009/9/main" uri="{725AE2AE-9491-48be-B2B4-4EB974FC3084}">
      <x14:pivotCacheDefinition pivotCacheId="1486152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s v="TXN-1001"/>
    <d v="2024-11-04T00:00:00"/>
    <s v="Kehinde Mensah"/>
    <x v="0"/>
    <x v="0"/>
    <x v="0"/>
    <x v="0"/>
    <x v="0"/>
    <x v="0"/>
    <n v="2"/>
    <n v="30000"/>
    <n v="60000"/>
    <n v="38367"/>
    <n v="40000"/>
    <n v="76734"/>
    <n v="16734"/>
    <n v="0.21807803581202595"/>
    <n v="-1633"/>
    <n v="-4.0825E-2"/>
    <s v="https://i.ibb.co/Q7ybDRfL/9446ae15f3a246e364b7c15811d12476-removebg-preview.png"/>
  </r>
  <r>
    <s v="TXN-1002"/>
    <d v="2024-12-07T00:00:00"/>
    <s v="Amina Acheampong"/>
    <x v="0"/>
    <x v="1"/>
    <x v="1"/>
    <x v="1"/>
    <x v="1"/>
    <x v="1"/>
    <n v="1"/>
    <n v="40000"/>
    <n v="40000"/>
    <n v="52045"/>
    <n v="52000"/>
    <n v="52045"/>
    <n v="12045"/>
    <n v="0.2314343356710539"/>
    <n v="45"/>
    <n v="8.6538461538461541E-4"/>
    <s v="https://i.ibb.co/VYQrTB1m/images-13-removebg-preview.png"/>
  </r>
  <r>
    <s v="TXN-1003"/>
    <d v="2022-06-14T00:00:00"/>
    <s v="Yemi Diallo"/>
    <x v="0"/>
    <x v="2"/>
    <x v="0"/>
    <x v="2"/>
    <x v="2"/>
    <x v="2"/>
    <n v="2"/>
    <n v="22000"/>
    <n v="44000"/>
    <n v="29159"/>
    <n v="28000"/>
    <n v="58318"/>
    <n v="14318"/>
    <n v="0.24551596419630303"/>
    <n v="1159"/>
    <n v="4.1392857142857141E-2"/>
    <s v="https://i.ibb.co/jPH5PFzp/l74920220426094748-removebg-preview.png"/>
  </r>
  <r>
    <s v="TXN-1004"/>
    <d v="2023-01-09T00:00:00"/>
    <s v="Adaeze Kamau"/>
    <x v="0"/>
    <x v="3"/>
    <x v="1"/>
    <x v="2"/>
    <x v="1"/>
    <x v="1"/>
    <n v="3"/>
    <n v="35000"/>
    <n v="105000"/>
    <n v="43985"/>
    <n v="45000"/>
    <n v="131955"/>
    <n v="26955"/>
    <n v="0.204274184381039"/>
    <n v="-1015"/>
    <n v="-2.2555555555555554E-2"/>
    <s v="https://i.ibb.co/ZpxtR2fy/2025-mercedes-benz-e-class-e-350-4matic-sedan-angular-front-exterior-view-100958645-l-removebg-previ.png"/>
  </r>
  <r>
    <s v="TXN-1005"/>
    <d v="2020-12-07T00:00:00"/>
    <s v="Amina Nwosu"/>
    <x v="1"/>
    <x v="4"/>
    <x v="1"/>
    <x v="1"/>
    <x v="2"/>
    <x v="2"/>
    <n v="3"/>
    <n v="45000"/>
    <n v="135000"/>
    <n v="65824"/>
    <n v="62000"/>
    <n v="197472"/>
    <n v="62472"/>
    <n v="0.31635877491492465"/>
    <n v="3824"/>
    <n v="6.1677419354838711E-2"/>
    <s v="https://i.ibb.co/gF7TBV3f/images-15-removebg-preview.png"/>
  </r>
  <r>
    <s v="TXN-1006"/>
    <d v="2021-06-12T00:00:00"/>
    <s v="Kwame Agyei"/>
    <x v="0"/>
    <x v="5"/>
    <x v="2"/>
    <x v="2"/>
    <x v="1"/>
    <x v="3"/>
    <n v="3"/>
    <n v="70000"/>
    <n v="210000"/>
    <n v="91625"/>
    <n v="95000"/>
    <n v="274875"/>
    <n v="64875"/>
    <n v="0.23601637107776263"/>
    <n v="-3375"/>
    <n v="-3.5526315789473684E-2"/>
    <s v="https://i.ibb.co/1f2ZbR0x/66866424995883-69879159-removebg-preview.png"/>
  </r>
  <r>
    <s v="TXN-1007"/>
    <d v="2024-12-21T00:00:00"/>
    <s v="Wale Mensah"/>
    <x v="0"/>
    <x v="1"/>
    <x v="3"/>
    <x v="1"/>
    <x v="0"/>
    <x v="0"/>
    <n v="4"/>
    <n v="40000"/>
    <n v="160000"/>
    <n v="49200"/>
    <n v="52000"/>
    <n v="196800"/>
    <n v="36800"/>
    <n v="0.18699186991869918"/>
    <n v="-2800"/>
    <n v="-5.3846153846153849E-2"/>
    <s v="https://i.ibb.co/VYQrTB1m/images-13-removebg-preview.png"/>
  </r>
  <r>
    <s v="TXN-1008"/>
    <d v="2021-06-23T00:00:00"/>
    <s v="Olumide Appiah"/>
    <x v="0"/>
    <x v="5"/>
    <x v="1"/>
    <x v="2"/>
    <x v="3"/>
    <x v="4"/>
    <n v="2"/>
    <n v="70000"/>
    <n v="140000"/>
    <n v="91470"/>
    <n v="95000"/>
    <n v="182940"/>
    <n v="42940"/>
    <n v="0.23472176669946432"/>
    <n v="-3530"/>
    <n v="-3.7157894736842105E-2"/>
    <s v="https://i.ibb.co/1f2ZbR0x/66866424995883-69879159-removebg-preview.png"/>
  </r>
  <r>
    <s v="TXN-1009"/>
    <d v="2023-10-24T00:00:00"/>
    <s v="Chisom Adeyemi"/>
    <x v="0"/>
    <x v="1"/>
    <x v="3"/>
    <x v="1"/>
    <x v="4"/>
    <x v="5"/>
    <n v="5"/>
    <n v="40000"/>
    <n v="200000"/>
    <n v="54038"/>
    <n v="52000"/>
    <n v="270190"/>
    <n v="70190"/>
    <n v="0.25978015470594767"/>
    <n v="2038"/>
    <n v="3.9192307692307693E-2"/>
    <s v="https://i.ibb.co/VYQrTB1m/images-13-removebg-preview.png"/>
  </r>
  <r>
    <s v="TXN-1010"/>
    <d v="2023-03-21T00:00:00"/>
    <s v="Adaeze Muller"/>
    <x v="0"/>
    <x v="3"/>
    <x v="2"/>
    <x v="2"/>
    <x v="3"/>
    <x v="6"/>
    <n v="1"/>
    <n v="35000"/>
    <n v="35000"/>
    <n v="46842"/>
    <n v="45000"/>
    <n v="46842"/>
    <n v="11842"/>
    <n v="0.25280730967934761"/>
    <n v="1842"/>
    <n v="4.0933333333333335E-2"/>
    <s v="https://i.ibb.co/ZpxtR2fy/2025-mercedes-benz-e-class-e-350-4matic-sedan-angular-front-exterior-view-100958645-l-removebg-previ.png"/>
  </r>
  <r>
    <s v="TXN-1011"/>
    <d v="2024-02-24T00:00:00"/>
    <s v="Nkechi Dlamini"/>
    <x v="1"/>
    <x v="6"/>
    <x v="0"/>
    <x v="2"/>
    <x v="2"/>
    <x v="2"/>
    <n v="1"/>
    <n v="15000"/>
    <n v="15000"/>
    <n v="23270"/>
    <n v="22000"/>
    <n v="23270"/>
    <n v="8270"/>
    <n v="0.35539321014181352"/>
    <n v="1270"/>
    <n v="5.7727272727272724E-2"/>
    <s v="https://i.ibb.co/jP4HPbyV/images-14-removebg-preview.png"/>
  </r>
  <r>
    <s v="TXN-1012"/>
    <d v="2024-03-25T00:00:00"/>
    <s v="Dayo Appiah"/>
    <x v="0"/>
    <x v="7"/>
    <x v="1"/>
    <x v="1"/>
    <x v="5"/>
    <x v="7"/>
    <n v="3"/>
    <n v="65000"/>
    <n v="195000"/>
    <n v="78244"/>
    <n v="85000"/>
    <n v="234732"/>
    <n v="39732"/>
    <n v="0.16926537498082919"/>
    <n v="-6756"/>
    <n v="-7.9482352941176476E-2"/>
    <s v="https://i.ibb.co/Qv7s3XZY/2023-mercedes-benz-gls-class-maybach-gls-600-4matic-suv-angular-front-exterior-view-100919852-m-remo.png"/>
  </r>
  <r>
    <s v="TXN-1013"/>
    <d v="2024-01-17T00:00:00"/>
    <s v="Folake Okafor"/>
    <x v="0"/>
    <x v="8"/>
    <x v="4"/>
    <x v="2"/>
    <x v="2"/>
    <x v="8"/>
    <n v="5"/>
    <n v="18000"/>
    <n v="90000"/>
    <n v="25008"/>
    <n v="24000"/>
    <n v="125040"/>
    <n v="35040"/>
    <n v="0.28023032629558542"/>
    <n v="1008"/>
    <n v="4.2000000000000003E-2"/>
    <s v="https://i.ibb.co/JRMBh5vH/images-10-removebg-preview.png"/>
  </r>
  <r>
    <s v="TXN-1014"/>
    <d v="2023-12-03T00:00:00"/>
    <s v="Tunde Hassan"/>
    <x v="0"/>
    <x v="1"/>
    <x v="5"/>
    <x v="1"/>
    <x v="1"/>
    <x v="9"/>
    <n v="5"/>
    <n v="40000"/>
    <n v="200000"/>
    <n v="48322"/>
    <n v="52000"/>
    <n v="241610"/>
    <n v="41610"/>
    <n v="0.17221969289350605"/>
    <n v="-3678"/>
    <n v="-7.0730769230769236E-2"/>
    <s v="https://i.ibb.co/VYQrTB1m/images-13-removebg-preview.png"/>
  </r>
  <r>
    <s v="TXN-1015"/>
    <d v="2021-09-07T00:00:00"/>
    <s v="Olumide Quartey"/>
    <x v="0"/>
    <x v="9"/>
    <x v="6"/>
    <x v="1"/>
    <x v="0"/>
    <x v="10"/>
    <n v="5"/>
    <n v="48000"/>
    <n v="240000"/>
    <n v="59669"/>
    <n v="62000"/>
    <n v="298345"/>
    <n v="58345"/>
    <n v="0.19556218471903333"/>
    <n v="-2331"/>
    <n v="-3.7596774193548385E-2"/>
    <s v="https://i.ibb.co/5gFdbgGX/images-12-removebg-preview.png"/>
  </r>
  <r>
    <s v="TXN-1016"/>
    <d v="2020-03-06T00:00:00"/>
    <s v="Amina Okafor"/>
    <x v="1"/>
    <x v="6"/>
    <x v="2"/>
    <x v="2"/>
    <x v="0"/>
    <x v="10"/>
    <n v="2"/>
    <n v="15000"/>
    <n v="30000"/>
    <n v="21829"/>
    <n v="22000"/>
    <n v="43658"/>
    <n v="13658"/>
    <n v="0.31284071647807959"/>
    <n v="-171"/>
    <n v="-7.7727272727272723E-3"/>
    <s v="https://i.ibb.co/jP4HPbyV/images-14-removebg-preview.png"/>
  </r>
  <r>
    <s v="TXN-1017"/>
    <d v="2022-04-17T00:00:00"/>
    <s v="Yemi Banda"/>
    <x v="0"/>
    <x v="3"/>
    <x v="5"/>
    <x v="2"/>
    <x v="1"/>
    <x v="1"/>
    <n v="3"/>
    <n v="35000"/>
    <n v="105000"/>
    <n v="47919"/>
    <n v="45000"/>
    <n v="143757"/>
    <n v="38757"/>
    <n v="0.26960078465744275"/>
    <n v="2919"/>
    <n v="6.486666666666667E-2"/>
    <s v="https://i.ibb.co/ZpxtR2fy/2025-mercedes-benz-e-class-e-350-4matic-sedan-angular-front-exterior-view-100958645-l-removebg-previ.png"/>
  </r>
  <r>
    <s v="TXN-1018"/>
    <d v="2023-02-04T00:00:00"/>
    <s v="Kehinde Boateng"/>
    <x v="0"/>
    <x v="1"/>
    <x v="2"/>
    <x v="1"/>
    <x v="3"/>
    <x v="6"/>
    <n v="4"/>
    <n v="40000"/>
    <n v="160000"/>
    <n v="54368"/>
    <n v="52000"/>
    <n v="217472"/>
    <n v="57472"/>
    <n v="0.26427310182460273"/>
    <n v="2368"/>
    <n v="4.5538461538461542E-2"/>
    <s v="https://i.ibb.co/VYQrTB1m/images-13-removebg-preview.png"/>
  </r>
  <r>
    <s v="TXN-1019"/>
    <d v="2022-12-13T00:00:00"/>
    <s v="Hassan Owusu"/>
    <x v="2"/>
    <x v="10"/>
    <x v="5"/>
    <x v="2"/>
    <x v="4"/>
    <x v="11"/>
    <n v="1"/>
    <n v="14000"/>
    <n v="14000"/>
    <n v="21549"/>
    <n v="20000"/>
    <n v="21549"/>
    <n v="7549"/>
    <n v="0.35031788018005477"/>
    <n v="1549"/>
    <n v="7.7450000000000005E-2"/>
    <s v="https://i.ibb.co/jP31Crpy/images-16-removebg-preview.png"/>
  </r>
  <r>
    <s v="TXN-1020"/>
    <d v="2023-02-08T00:00:00"/>
    <s v="Fatima Appiah"/>
    <x v="0"/>
    <x v="9"/>
    <x v="6"/>
    <x v="1"/>
    <x v="3"/>
    <x v="6"/>
    <n v="3"/>
    <n v="48000"/>
    <n v="144000"/>
    <n v="61225"/>
    <n v="62000"/>
    <n v="183675"/>
    <n v="39675"/>
    <n v="0.21600653327888933"/>
    <n v="-775"/>
    <n v="-1.2500000000000001E-2"/>
    <s v="https://i.ibb.co/5gFdbgGX/images-12-removebg-preview.png"/>
  </r>
  <r>
    <s v="TXN-1021"/>
    <d v="2020-07-07T00:00:00"/>
    <s v="Adaeze Okafor"/>
    <x v="0"/>
    <x v="1"/>
    <x v="6"/>
    <x v="1"/>
    <x v="2"/>
    <x v="12"/>
    <n v="4"/>
    <n v="40000"/>
    <n v="160000"/>
    <n v="49224"/>
    <n v="52000"/>
    <n v="196896"/>
    <n v="36896"/>
    <n v="0.18738826588655941"/>
    <n v="-2776"/>
    <n v="-5.3384615384615385E-2"/>
    <s v="https://i.ibb.co/VYQrTB1m/images-13-removebg-preview.png"/>
  </r>
  <r>
    <s v="TXN-1022"/>
    <d v="2021-08-23T00:00:00"/>
    <s v="Sola Owusu"/>
    <x v="0"/>
    <x v="7"/>
    <x v="0"/>
    <x v="1"/>
    <x v="4"/>
    <x v="13"/>
    <n v="5"/>
    <n v="65000"/>
    <n v="325000"/>
    <n v="82079"/>
    <n v="85000"/>
    <n v="410395"/>
    <n v="85395"/>
    <n v="0.20808002046808563"/>
    <n v="-2921"/>
    <n v="-3.4364705882352943E-2"/>
    <s v="https://i.ibb.co/Qv7s3XZY/2023-mercedes-benz-gls-class-maybach-gls-600-4matic-suv-angular-front-exterior-view-100919852-m-remo.png"/>
  </r>
  <r>
    <s v="TXN-1023"/>
    <d v="2021-09-28T00:00:00"/>
    <s v="Rotimi Kamau"/>
    <x v="0"/>
    <x v="2"/>
    <x v="1"/>
    <x v="2"/>
    <x v="1"/>
    <x v="1"/>
    <n v="4"/>
    <n v="22000"/>
    <n v="88000"/>
    <n v="25985"/>
    <n v="28000"/>
    <n v="103940"/>
    <n v="15940"/>
    <n v="0.15335770636905907"/>
    <n v="-2015"/>
    <n v="-7.1964285714285717E-2"/>
    <s v="https://i.ibb.co/jPH5PFzp/l74920220426094748-removebg-preview.png"/>
  </r>
  <r>
    <s v="TXN-1024"/>
    <d v="2024-04-19T00:00:00"/>
    <s v="Abena Boateng"/>
    <x v="2"/>
    <x v="10"/>
    <x v="5"/>
    <x v="2"/>
    <x v="3"/>
    <x v="4"/>
    <n v="4"/>
    <n v="14000"/>
    <n v="56000"/>
    <n v="21158"/>
    <n v="20000"/>
    <n v="84632"/>
    <n v="28632"/>
    <n v="0.3383117496927876"/>
    <n v="1158"/>
    <n v="5.79E-2"/>
    <s v="https://i.ibb.co/jP31Crpy/images-16-removebg-preview.png"/>
  </r>
  <r>
    <s v="TXN-1025"/>
    <d v="2021-06-23T00:00:00"/>
    <s v="Olumide Hassan"/>
    <x v="0"/>
    <x v="8"/>
    <x v="0"/>
    <x v="2"/>
    <x v="0"/>
    <x v="14"/>
    <n v="2"/>
    <n v="18000"/>
    <n v="36000"/>
    <n v="25669"/>
    <n v="24000"/>
    <n v="51338"/>
    <n v="15338"/>
    <n v="0.29876504733335929"/>
    <n v="1669"/>
    <n v="6.9541666666666668E-2"/>
    <s v="https://i.ibb.co/JRMBh5vH/images-10-removebg-preview.png"/>
  </r>
  <r>
    <s v="TXN-1026"/>
    <d v="2024-10-15T00:00:00"/>
    <s v="Kwame Banda"/>
    <x v="0"/>
    <x v="8"/>
    <x v="5"/>
    <x v="2"/>
    <x v="0"/>
    <x v="14"/>
    <n v="1"/>
    <n v="18000"/>
    <n v="18000"/>
    <n v="25647"/>
    <n v="24000"/>
    <n v="25647"/>
    <n v="7647"/>
    <n v="0.29816352789799977"/>
    <n v="1647"/>
    <n v="6.8625000000000005E-2"/>
    <s v="https://i.ibb.co/JRMBh5vH/images-10-removebg-preview.png"/>
  </r>
  <r>
    <s v="TXN-1027"/>
    <d v="2021-05-12T00:00:00"/>
    <s v="Dayo Agyei"/>
    <x v="0"/>
    <x v="9"/>
    <x v="2"/>
    <x v="1"/>
    <x v="3"/>
    <x v="6"/>
    <n v="1"/>
    <n v="48000"/>
    <n v="48000"/>
    <n v="66298"/>
    <n v="62000"/>
    <n v="66298"/>
    <n v="18298"/>
    <n v="0.27599625931400645"/>
    <n v="4298"/>
    <n v="6.9322580645161294E-2"/>
    <s v="https://i.ibb.co/5gFdbgGX/images-12-removebg-preview.png"/>
  </r>
  <r>
    <s v="TXN-1028"/>
    <d v="2020-09-02T00:00:00"/>
    <s v="Aisha Nwosu"/>
    <x v="1"/>
    <x v="6"/>
    <x v="2"/>
    <x v="2"/>
    <x v="0"/>
    <x v="14"/>
    <n v="1"/>
    <n v="15000"/>
    <n v="15000"/>
    <n v="21294"/>
    <n v="22000"/>
    <n v="21294"/>
    <n v="6294"/>
    <n v="0.29557621865314171"/>
    <n v="-706"/>
    <n v="-3.2090909090909094E-2"/>
    <s v="https://i.ibb.co/jP4HPbyV/images-14-removebg-preview.png"/>
  </r>
  <r>
    <s v="TXN-1029"/>
    <d v="2020-05-16T00:00:00"/>
    <s v="Kehinde Okonkwo"/>
    <x v="0"/>
    <x v="1"/>
    <x v="1"/>
    <x v="1"/>
    <x v="2"/>
    <x v="12"/>
    <n v="3"/>
    <n v="40000"/>
    <n v="120000"/>
    <n v="53560"/>
    <n v="52000"/>
    <n v="160680"/>
    <n v="40680"/>
    <n v="0.25317401045556387"/>
    <n v="1560"/>
    <n v="0.03"/>
    <s v="https://i.ibb.co/VYQrTB1m/images-13-removebg-preview.png"/>
  </r>
  <r>
    <s v="TXN-1030"/>
    <d v="2024-08-24T00:00:00"/>
    <s v="Emeka Dlamini"/>
    <x v="0"/>
    <x v="9"/>
    <x v="2"/>
    <x v="1"/>
    <x v="1"/>
    <x v="1"/>
    <n v="3"/>
    <n v="48000"/>
    <n v="144000"/>
    <n v="63360"/>
    <n v="62000"/>
    <n v="190080"/>
    <n v="46080"/>
    <n v="0.24242424242424243"/>
    <n v="1360"/>
    <n v="2.1935483870967741E-2"/>
    <s v="https://i.ibb.co/5gFdbgGX/images-12-removebg-preview.png"/>
  </r>
  <r>
    <s v="TXN-1031"/>
    <d v="2021-07-05T00:00:00"/>
    <s v="Dayo Traore"/>
    <x v="0"/>
    <x v="2"/>
    <x v="1"/>
    <x v="2"/>
    <x v="1"/>
    <x v="3"/>
    <n v="5"/>
    <n v="22000"/>
    <n v="110000"/>
    <n v="29499"/>
    <n v="28000"/>
    <n v="147495"/>
    <n v="37495"/>
    <n v="0.2542120071866843"/>
    <n v="1499"/>
    <n v="5.3535714285714284E-2"/>
    <s v="https://i.ibb.co/jPH5PFzp/l74920220426094748-removebg-preview.png"/>
  </r>
  <r>
    <s v="TXN-1032"/>
    <d v="2023-09-25T00:00:00"/>
    <s v="Hassan Asante"/>
    <x v="2"/>
    <x v="10"/>
    <x v="3"/>
    <x v="2"/>
    <x v="1"/>
    <x v="9"/>
    <n v="1"/>
    <n v="14000"/>
    <n v="14000"/>
    <n v="19198"/>
    <n v="20000"/>
    <n v="19198"/>
    <n v="5198"/>
    <n v="0.27075737055943327"/>
    <n v="-802"/>
    <n v="-4.0099999999999997E-2"/>
    <s v="https://i.ibb.co/jP31Crpy/images-16-removebg-preview.png"/>
  </r>
  <r>
    <s v="TXN-1033"/>
    <d v="2021-11-14T00:00:00"/>
    <s v="Seun Sarpong"/>
    <x v="0"/>
    <x v="9"/>
    <x v="4"/>
    <x v="1"/>
    <x v="3"/>
    <x v="15"/>
    <n v="3"/>
    <n v="48000"/>
    <n v="144000"/>
    <n v="64347"/>
    <n v="62000"/>
    <n v="193041"/>
    <n v="49041"/>
    <n v="0.25404447759802323"/>
    <n v="2347"/>
    <n v="3.7854838709677423E-2"/>
    <s v="https://i.ibb.co/5gFdbgGX/images-12-removebg-preview.png"/>
  </r>
  <r>
    <s v="TXN-1034"/>
    <d v="2021-04-10T00:00:00"/>
    <s v="Femi Muller"/>
    <x v="0"/>
    <x v="7"/>
    <x v="3"/>
    <x v="1"/>
    <x v="1"/>
    <x v="16"/>
    <n v="4"/>
    <n v="65000"/>
    <n v="260000"/>
    <n v="81225"/>
    <n v="85000"/>
    <n v="324900"/>
    <n v="64900"/>
    <n v="0.19975377039088951"/>
    <n v="-3775"/>
    <n v="-4.4411764705882352E-2"/>
    <s v="https://i.ibb.co/Qv7s3XZY/2023-mercedes-benz-gls-class-maybach-gls-600-4matic-suv-angular-front-exterior-view-100919852-m-remo.png"/>
  </r>
  <r>
    <s v="TXN-1035"/>
    <d v="2022-09-22T00:00:00"/>
    <s v="Ngozi Okonkwo"/>
    <x v="0"/>
    <x v="0"/>
    <x v="6"/>
    <x v="0"/>
    <x v="5"/>
    <x v="7"/>
    <n v="5"/>
    <n v="30000"/>
    <n v="150000"/>
    <n v="39047"/>
    <n v="40000"/>
    <n v="195235"/>
    <n v="45235"/>
    <n v="0.23169513663021488"/>
    <n v="-953"/>
    <n v="-2.3824999999999999E-2"/>
    <s v="https://i.ibb.co/Q7ybDRfL/9446ae15f3a246e364b7c15811d12476-removebg-preview.png"/>
  </r>
  <r>
    <s v="TXN-1036"/>
    <d v="2023-06-24T00:00:00"/>
    <s v="Adaeze Osei"/>
    <x v="0"/>
    <x v="2"/>
    <x v="3"/>
    <x v="2"/>
    <x v="3"/>
    <x v="6"/>
    <n v="4"/>
    <n v="22000"/>
    <n v="88000"/>
    <n v="26246"/>
    <n v="28000"/>
    <n v="104984"/>
    <n v="16984"/>
    <n v="0.16177703269069574"/>
    <n v="-1754"/>
    <n v="-6.2642857142857139E-2"/>
    <s v="https://i.ibb.co/jPH5PFzp/l74920220426094748-removebg-preview.png"/>
  </r>
  <r>
    <s v="TXN-1037"/>
    <d v="2021-11-18T00:00:00"/>
    <s v="Kehinde Kamau"/>
    <x v="2"/>
    <x v="11"/>
    <x v="4"/>
    <x v="1"/>
    <x v="3"/>
    <x v="15"/>
    <n v="5"/>
    <n v="20000"/>
    <n v="100000"/>
    <n v="27714"/>
    <n v="28000"/>
    <n v="138570"/>
    <n v="38570"/>
    <n v="0.27834307570181138"/>
    <n v="-286"/>
    <n v="-1.0214285714285714E-2"/>
    <s v="https://i.ibb.co/hRb9F2x9/carshot-CR-V-front-CR-VHYBAWDSPORTL-2026-Radiant-Red-Metallic-RS6-H8-TJFW-R-569-M-1.png"/>
  </r>
  <r>
    <s v="TXN-1038"/>
    <d v="2023-11-10T00:00:00"/>
    <s v="Olumide Sarpong"/>
    <x v="2"/>
    <x v="10"/>
    <x v="1"/>
    <x v="2"/>
    <x v="0"/>
    <x v="10"/>
    <n v="3"/>
    <n v="14000"/>
    <n v="42000"/>
    <n v="21114"/>
    <n v="20000"/>
    <n v="63342"/>
    <n v="21342"/>
    <n v="0.33693284076915792"/>
    <n v="1114"/>
    <n v="5.57E-2"/>
    <s v="https://i.ibb.co/jP31Crpy/images-16-removebg-preview.png"/>
  </r>
  <r>
    <s v="TXN-1039"/>
    <d v="2024-03-24T00:00:00"/>
    <s v="Olumide Banda"/>
    <x v="0"/>
    <x v="1"/>
    <x v="0"/>
    <x v="1"/>
    <x v="5"/>
    <x v="17"/>
    <n v="4"/>
    <n v="40000"/>
    <n v="160000"/>
    <n v="51338"/>
    <n v="52000"/>
    <n v="205352"/>
    <n v="45352"/>
    <n v="0.22085005259262144"/>
    <n v="-662"/>
    <n v="-1.2730769230769231E-2"/>
    <s v="https://i.ibb.co/VYQrTB1m/images-13-removebg-preview.png"/>
  </r>
  <r>
    <s v="TXN-1040"/>
    <d v="2023-06-21T00:00:00"/>
    <s v="Adeola Quartey"/>
    <x v="0"/>
    <x v="1"/>
    <x v="1"/>
    <x v="1"/>
    <x v="1"/>
    <x v="9"/>
    <n v="5"/>
    <n v="40000"/>
    <n v="200000"/>
    <n v="51417"/>
    <n v="52000"/>
    <n v="257085"/>
    <n v="57085"/>
    <n v="0.22204718283836086"/>
    <n v="-583"/>
    <n v="-1.1211538461538462E-2"/>
    <s v="https://i.ibb.co/VYQrTB1m/images-13-removebg-preview.png"/>
  </r>
  <r>
    <s v="TXN-1041"/>
    <d v="2024-11-17T00:00:00"/>
    <s v="Abena Adeyemi"/>
    <x v="2"/>
    <x v="12"/>
    <x v="3"/>
    <x v="1"/>
    <x v="3"/>
    <x v="6"/>
    <n v="1"/>
    <n v="20000"/>
    <n v="20000"/>
    <n v="26520"/>
    <n v="28000"/>
    <n v="26520"/>
    <n v="6520"/>
    <n v="0.2458521870286576"/>
    <n v="-1480"/>
    <n v="-5.2857142857142859E-2"/>
    <m/>
  </r>
  <r>
    <s v="TXN-1042"/>
    <d v="2020-10-16T00:00:00"/>
    <s v="Taiwo Appiah"/>
    <x v="0"/>
    <x v="1"/>
    <x v="2"/>
    <x v="1"/>
    <x v="0"/>
    <x v="10"/>
    <n v="1"/>
    <n v="40000"/>
    <n v="40000"/>
    <n v="49066"/>
    <n v="52000"/>
    <n v="49066"/>
    <n v="9066"/>
    <n v="0.18477153222190518"/>
    <n v="-2934"/>
    <n v="-5.6423076923076923E-2"/>
    <s v="https://i.ibb.co/VYQrTB1m/images-13-removebg-preview.png"/>
  </r>
  <r>
    <s v="TXN-1043"/>
    <d v="2020-12-21T00:00:00"/>
    <s v="Kehinde Adeyemi"/>
    <x v="0"/>
    <x v="5"/>
    <x v="2"/>
    <x v="2"/>
    <x v="2"/>
    <x v="12"/>
    <n v="2"/>
    <n v="70000"/>
    <n v="140000"/>
    <n v="94915"/>
    <n v="95000"/>
    <n v="189830"/>
    <n v="49830"/>
    <n v="0.26249802454828003"/>
    <n v="-85"/>
    <n v="-8.9473684210526316E-4"/>
    <s v="https://i.ibb.co/1f2ZbR0x/66866424995883-69879159-removebg-preview.png"/>
  </r>
  <r>
    <s v="TXN-1044"/>
    <d v="2024-08-05T00:00:00"/>
    <s v="Adeola Agyei"/>
    <x v="0"/>
    <x v="2"/>
    <x v="6"/>
    <x v="2"/>
    <x v="3"/>
    <x v="6"/>
    <n v="1"/>
    <n v="22000"/>
    <n v="22000"/>
    <n v="28257"/>
    <n v="28000"/>
    <n v="28257"/>
    <n v="6257"/>
    <n v="0.22143185759280887"/>
    <n v="257"/>
    <n v="9.1785714285714283E-3"/>
    <s v="https://i.ibb.co/jPH5PFzp/l74920220426094748-removebg-preview.png"/>
  </r>
  <r>
    <s v="TXN-1045"/>
    <d v="2023-08-28T00:00:00"/>
    <s v="Hassan Appiah"/>
    <x v="1"/>
    <x v="6"/>
    <x v="0"/>
    <x v="2"/>
    <x v="0"/>
    <x v="14"/>
    <n v="2"/>
    <n v="15000"/>
    <n v="30000"/>
    <n v="21810"/>
    <n v="22000"/>
    <n v="43620"/>
    <n v="13620"/>
    <n v="0.31224209078404402"/>
    <n v="-190"/>
    <n v="-8.6363636363636365E-3"/>
    <s v="https://i.ibb.co/jP4HPbyV/images-14-removebg-preview.png"/>
  </r>
  <r>
    <s v="TXN-1046"/>
    <d v="2021-05-23T00:00:00"/>
    <s v="Nkechi Diallo"/>
    <x v="2"/>
    <x v="10"/>
    <x v="5"/>
    <x v="2"/>
    <x v="5"/>
    <x v="17"/>
    <n v="4"/>
    <n v="14000"/>
    <n v="56000"/>
    <n v="19166"/>
    <n v="20000"/>
    <n v="76664"/>
    <n v="20664"/>
    <n v="0.26953981008035061"/>
    <n v="-834"/>
    <n v="-4.1700000000000001E-2"/>
    <s v="https://i.ibb.co/jP31Crpy/images-16-removebg-preview.png"/>
  </r>
  <r>
    <s v="TXN-1047"/>
    <d v="2023-02-07T00:00:00"/>
    <s v="Nkechi Banda"/>
    <x v="0"/>
    <x v="1"/>
    <x v="0"/>
    <x v="1"/>
    <x v="2"/>
    <x v="12"/>
    <n v="2"/>
    <n v="40000"/>
    <n v="80000"/>
    <n v="51027"/>
    <n v="52000"/>
    <n v="102054"/>
    <n v="22054"/>
    <n v="0.21610127971466087"/>
    <n v="-973"/>
    <n v="-1.871153846153846E-2"/>
    <s v="https://i.ibb.co/VYQrTB1m/images-13-removebg-preview.png"/>
  </r>
  <r>
    <s v="TXN-1048"/>
    <d v="2023-10-01T00:00:00"/>
    <s v="Emeka Traore"/>
    <x v="0"/>
    <x v="5"/>
    <x v="0"/>
    <x v="2"/>
    <x v="4"/>
    <x v="13"/>
    <n v="5"/>
    <n v="70000"/>
    <n v="350000"/>
    <n v="93320"/>
    <n v="95000"/>
    <n v="466600"/>
    <n v="116600"/>
    <n v="0.2498928418345478"/>
    <n v="-1680"/>
    <n v="-1.7684210526315788E-2"/>
    <s v="https://i.ibb.co/1f2ZbR0x/66866424995883-69879159-removebg-preview.png"/>
  </r>
  <r>
    <s v="TXN-1049"/>
    <d v="2023-04-20T00:00:00"/>
    <s v="Aisha Boateng"/>
    <x v="1"/>
    <x v="6"/>
    <x v="4"/>
    <x v="2"/>
    <x v="5"/>
    <x v="7"/>
    <n v="5"/>
    <n v="15000"/>
    <n v="75000"/>
    <n v="22871"/>
    <n v="22000"/>
    <n v="114355"/>
    <n v="39355"/>
    <n v="0.34414761051112763"/>
    <n v="871"/>
    <n v="3.9590909090909093E-2"/>
    <s v="https://i.ibb.co/jP4HPbyV/images-14-removebg-preview.png"/>
  </r>
  <r>
    <s v="TXN-1050"/>
    <d v="2021-08-06T00:00:00"/>
    <s v="Olumide Osei"/>
    <x v="2"/>
    <x v="10"/>
    <x v="0"/>
    <x v="2"/>
    <x v="4"/>
    <x v="5"/>
    <n v="4"/>
    <n v="14000"/>
    <n v="56000"/>
    <n v="20573"/>
    <n v="20000"/>
    <n v="82292"/>
    <n v="26292"/>
    <n v="0.31949642735624362"/>
    <n v="573"/>
    <n v="2.8649999999999998E-2"/>
    <s v="https://i.ibb.co/jP31Crpy/images-16-removebg-preview.png"/>
  </r>
  <r>
    <s v="TXN-1051"/>
    <d v="2023-05-02T00:00:00"/>
    <s v="Yemi Acheampong"/>
    <x v="2"/>
    <x v="10"/>
    <x v="2"/>
    <x v="2"/>
    <x v="2"/>
    <x v="8"/>
    <n v="4"/>
    <n v="14000"/>
    <n v="56000"/>
    <n v="250000"/>
    <n v="20000"/>
    <n v="1000000"/>
    <n v="944000"/>
    <n v="0.94399999999999995"/>
    <n v="230000"/>
    <n v="11.5"/>
    <s v="https://i.ibb.co/jP31Crpy/images-16-removebg-preview.png"/>
  </r>
  <r>
    <s v="TXN-1052"/>
    <d v="2023-02-27T00:00:00"/>
    <s v="Fatima Traore"/>
    <x v="0"/>
    <x v="0"/>
    <x v="3"/>
    <x v="0"/>
    <x v="5"/>
    <x v="7"/>
    <n v="4"/>
    <n v="30000"/>
    <n v="120000"/>
    <n v="41613"/>
    <n v="40000"/>
    <n v="166452"/>
    <n v="46452"/>
    <n v="0.27907144401989764"/>
    <n v="1613"/>
    <n v="4.0325E-2"/>
    <s v="https://i.ibb.co/Q7ybDRfL/9446ae15f3a246e364b7c15811d12476-removebg-preview.png"/>
  </r>
  <r>
    <s v="TXN-1053"/>
    <d v="2024-07-01T00:00:00"/>
    <s v="Hassan Hassan"/>
    <x v="2"/>
    <x v="10"/>
    <x v="2"/>
    <x v="2"/>
    <x v="3"/>
    <x v="6"/>
    <n v="1"/>
    <n v="14000"/>
    <n v="14000"/>
    <n v="18529"/>
    <n v="20000"/>
    <n v="18529"/>
    <n v="4529"/>
    <n v="0.2444276539478655"/>
    <n v="-1471"/>
    <n v="-7.3550000000000004E-2"/>
    <s v="https://i.ibb.co/jP31Crpy/images-16-removebg-preview.png"/>
  </r>
  <r>
    <s v="TXN-1054"/>
    <d v="2024-03-12T00:00:00"/>
    <s v="Seun Nwosu"/>
    <x v="0"/>
    <x v="1"/>
    <x v="4"/>
    <x v="1"/>
    <x v="4"/>
    <x v="11"/>
    <n v="3"/>
    <n v="40000"/>
    <n v="120000"/>
    <n v="51709"/>
    <n v="52000"/>
    <n v="155127"/>
    <n v="35127"/>
    <n v="0.22644027151946469"/>
    <n v="-291"/>
    <n v="-5.5961538461538462E-3"/>
    <s v="https://i.ibb.co/VYQrTB1m/images-13-removebg-preview.png"/>
  </r>
  <r>
    <s v="TXN-1055"/>
    <d v="2020-04-23T00:00:00"/>
    <s v="Kofi Sarpong"/>
    <x v="1"/>
    <x v="4"/>
    <x v="6"/>
    <x v="1"/>
    <x v="1"/>
    <x v="1"/>
    <n v="4"/>
    <n v="45000"/>
    <n v="180000"/>
    <n v="63759"/>
    <n v="62000"/>
    <n v="255036"/>
    <n v="75036"/>
    <n v="0.2942172869712511"/>
    <n v="1759"/>
    <n v="2.8370967741935482E-2"/>
    <s v="https://i.ibb.co/gF7TBV3f/images-15-removebg-preview.png"/>
  </r>
  <r>
    <s v="TXN-1056"/>
    <d v="2022-11-14T00:00:00"/>
    <s v="Rotimi Appiah"/>
    <x v="1"/>
    <x v="4"/>
    <x v="1"/>
    <x v="1"/>
    <x v="5"/>
    <x v="17"/>
    <n v="3"/>
    <n v="45000"/>
    <n v="135000"/>
    <n v="64804"/>
    <n v="62000"/>
    <n v="194412"/>
    <n v="59412"/>
    <n v="0.30559841985062652"/>
    <n v="2804"/>
    <n v="4.52258064516129E-2"/>
    <s v="https://i.ibb.co/gF7TBV3f/images-15-removebg-preview.png"/>
  </r>
  <r>
    <s v="TXN-1057"/>
    <d v="2021-08-27T00:00:00"/>
    <s v="Kemi Frimpong"/>
    <x v="0"/>
    <x v="7"/>
    <x v="0"/>
    <x v="1"/>
    <x v="5"/>
    <x v="18"/>
    <n v="3"/>
    <n v="65000"/>
    <n v="195000"/>
    <n v="79635"/>
    <n v="85000"/>
    <n v="238905"/>
    <n v="43905"/>
    <n v="0.18377597789916494"/>
    <n v="-5365"/>
    <n v="-6.3117647058823528E-2"/>
    <s v="https://i.ibb.co/Qv7s3XZY/2023-mercedes-benz-gls-class-maybach-gls-600-4matic-suv-angular-front-exterior-view-100919852-m-remo.png"/>
  </r>
  <r>
    <s v="TXN-1058"/>
    <d v="2024-12-27T00:00:00"/>
    <s v="Wale Adeyemi"/>
    <x v="1"/>
    <x v="6"/>
    <x v="6"/>
    <x v="2"/>
    <x v="2"/>
    <x v="8"/>
    <n v="4"/>
    <n v="15000"/>
    <n v="60000"/>
    <n v="22967"/>
    <n v="22000"/>
    <n v="91868"/>
    <n v="31868"/>
    <n v="0.3468890146732268"/>
    <n v="967"/>
    <n v="4.3954545454545454E-2"/>
    <s v="https://i.ibb.co/jP4HPbyV/images-14-removebg-preview.png"/>
  </r>
  <r>
    <s v="TXN-1059"/>
    <d v="2022-07-22T00:00:00"/>
    <s v="Folake Diallo"/>
    <x v="0"/>
    <x v="1"/>
    <x v="1"/>
    <x v="1"/>
    <x v="1"/>
    <x v="9"/>
    <n v="5"/>
    <n v="40000"/>
    <n v="200000"/>
    <n v="54084"/>
    <n v="52000"/>
    <n v="270420"/>
    <n v="70420"/>
    <n v="0.26040973300791359"/>
    <n v="2084"/>
    <n v="4.0076923076923079E-2"/>
    <s v="https://i.ibb.co/VYQrTB1m/images-13-removebg-preview.png"/>
  </r>
  <r>
    <s v="TXN-1060"/>
    <d v="2022-12-20T00:00:00"/>
    <s v="Femi Kamau"/>
    <x v="0"/>
    <x v="8"/>
    <x v="3"/>
    <x v="2"/>
    <x v="3"/>
    <x v="15"/>
    <n v="3"/>
    <n v="18000"/>
    <n v="54000"/>
    <n v="25144"/>
    <n v="24000"/>
    <n v="75432"/>
    <n v="21432"/>
    <n v="0.28412344893413938"/>
    <n v="1144"/>
    <n v="4.766666666666667E-2"/>
    <s v="https://i.ibb.co/JRMBh5vH/images-10-removebg-preview.png"/>
  </r>
  <r>
    <s v="TXN-1061"/>
    <d v="2023-11-16T00:00:00"/>
    <s v="Chidi Kamau"/>
    <x v="0"/>
    <x v="7"/>
    <x v="0"/>
    <x v="1"/>
    <x v="3"/>
    <x v="6"/>
    <n v="2"/>
    <n v="65000"/>
    <n v="130000"/>
    <n v="85750"/>
    <n v="85000"/>
    <n v="171500"/>
    <n v="41500"/>
    <n v="0.24198250728862974"/>
    <n v="750"/>
    <n v="8.8235294117647058E-3"/>
    <s v="https://i.ibb.co/Qv7s3XZY/2023-mercedes-benz-gls-class-maybach-gls-600-4matic-suv-angular-front-exterior-view-100919852-m-remo.png"/>
  </r>
  <r>
    <s v="TXN-1062"/>
    <d v="2024-09-16T00:00:00"/>
    <s v="Kehinde Frimpong"/>
    <x v="2"/>
    <x v="11"/>
    <x v="3"/>
    <x v="1"/>
    <x v="5"/>
    <x v="18"/>
    <n v="5"/>
    <n v="20000"/>
    <n v="100000"/>
    <n v="26850"/>
    <n v="28000"/>
    <n v="134250"/>
    <n v="34250"/>
    <n v="0.25512104283054005"/>
    <n v="-1150"/>
    <n v="-4.1071428571428571E-2"/>
    <s v="https://i.ibb.co/hRb9F2x9/carshot-CR-V-front-CR-VHYBAWDSPORTL-2026-Radiant-Red-Metallic-RS6-H8-TJFW-R-569-M-1.png"/>
  </r>
  <r>
    <s v="TXN-1063"/>
    <d v="2021-12-04T00:00:00"/>
    <s v="Ngozi Frimpong"/>
    <x v="0"/>
    <x v="7"/>
    <x v="2"/>
    <x v="1"/>
    <x v="2"/>
    <x v="2"/>
    <n v="3"/>
    <n v="65000"/>
    <n v="195000"/>
    <n v="81884"/>
    <n v="85000"/>
    <n v="245652"/>
    <n v="50652"/>
    <n v="0.20619412827902886"/>
    <n v="-3116"/>
    <n v="-3.6658823529411765E-2"/>
    <s v="https://i.ibb.co/Qv7s3XZY/2023-mercedes-benz-gls-class-maybach-gls-600-4matic-suv-angular-front-exterior-view-100919852-m-remo.png"/>
  </r>
  <r>
    <s v="TXN-1064"/>
    <d v="2024-09-19T00:00:00"/>
    <s v="Kofi Owusu"/>
    <x v="0"/>
    <x v="1"/>
    <x v="0"/>
    <x v="1"/>
    <x v="2"/>
    <x v="8"/>
    <n v="3"/>
    <n v="40000"/>
    <n v="120000"/>
    <n v="53985"/>
    <n v="52000"/>
    <n v="161955"/>
    <n v="41955"/>
    <n v="0.2590534407705844"/>
    <n v="1985"/>
    <n v="3.8173076923076921E-2"/>
    <s v="https://i.ibb.co/VYQrTB1m/images-13-removebg-preview.png"/>
  </r>
  <r>
    <s v="TXN-1065"/>
    <d v="2020-01-09T00:00:00"/>
    <s v="Tunde Appiah"/>
    <x v="0"/>
    <x v="9"/>
    <x v="2"/>
    <x v="1"/>
    <x v="5"/>
    <x v="18"/>
    <n v="5"/>
    <n v="48000"/>
    <n v="240000"/>
    <n v="60038"/>
    <n v="62000"/>
    <n v="300190"/>
    <n v="60190"/>
    <n v="0.20050634598087877"/>
    <n v="-1962"/>
    <n v="-3.1645161290322583E-2"/>
    <s v="https://i.ibb.co/5gFdbgGX/images-12-removebg-preview.png"/>
  </r>
  <r>
    <s v="TXN-1066"/>
    <d v="2020-03-11T00:00:00"/>
    <s v="Jumoke Dlamini"/>
    <x v="1"/>
    <x v="4"/>
    <x v="6"/>
    <x v="1"/>
    <x v="4"/>
    <x v="5"/>
    <n v="4"/>
    <n v="45000"/>
    <n v="180000"/>
    <n v="59861"/>
    <n v="62000"/>
    <n v="239444"/>
    <n v="59444"/>
    <n v="0.24825846544494745"/>
    <n v="-2139"/>
    <n v="-3.4500000000000003E-2"/>
    <s v="https://i.ibb.co/gF7TBV3f/images-15-removebg-preview.png"/>
  </r>
  <r>
    <s v="TXN-1067"/>
    <d v="2022-10-05T00:00:00"/>
    <s v="Hassan Dlamini"/>
    <x v="0"/>
    <x v="3"/>
    <x v="2"/>
    <x v="2"/>
    <x v="1"/>
    <x v="16"/>
    <n v="1"/>
    <n v="35000"/>
    <n v="35000"/>
    <n v="45555"/>
    <n v="45000"/>
    <n v="45555"/>
    <n v="10555"/>
    <n v="0.23169794753594555"/>
    <n v="555"/>
    <n v="1.2333333333333333E-2"/>
    <s v="https://i.ibb.co/ZpxtR2fy/2025-mercedes-benz-e-class-e-350-4matic-sedan-angular-front-exterior-view-100958645-l-removebg-previ.png"/>
  </r>
  <r>
    <s v="TXN-1068"/>
    <d v="2022-08-15T00:00:00"/>
    <s v="Dayo Osei"/>
    <x v="1"/>
    <x v="4"/>
    <x v="6"/>
    <x v="1"/>
    <x v="2"/>
    <x v="2"/>
    <n v="5"/>
    <n v="45000"/>
    <n v="225000"/>
    <n v="59279"/>
    <n v="62000"/>
    <n v="296395"/>
    <n v="71395"/>
    <n v="0.24087788255537373"/>
    <n v="-2721"/>
    <n v="-4.388709677419355E-2"/>
    <s v="https://i.ibb.co/gF7TBV3f/images-15-removebg-preview.png"/>
  </r>
  <r>
    <s v="TXN-1069"/>
    <d v="2020-07-05T00:00:00"/>
    <s v="Hassan Asante"/>
    <x v="2"/>
    <x v="11"/>
    <x v="0"/>
    <x v="1"/>
    <x v="2"/>
    <x v="12"/>
    <n v="2"/>
    <n v="20000"/>
    <n v="40000"/>
    <n v="26205"/>
    <n v="28000"/>
    <n v="52410"/>
    <n v="12410"/>
    <n v="0.23678687273421103"/>
    <n v="-1795"/>
    <n v="-6.4107142857142863E-2"/>
    <s v="https://i.ibb.co/hRb9F2x9/carshot-CR-V-front-CR-VHYBAWDSPORTL-2026-Radiant-Red-Metallic-RS6-H8-TJFW-R-569-M-1.png"/>
  </r>
  <r>
    <s v="TXN-1070"/>
    <d v="2021-01-10T00:00:00"/>
    <s v="Sola Sarpong"/>
    <x v="0"/>
    <x v="5"/>
    <x v="6"/>
    <x v="2"/>
    <x v="2"/>
    <x v="12"/>
    <n v="5"/>
    <n v="70000"/>
    <n v="350000"/>
    <n v="94248"/>
    <n v="95000"/>
    <n v="471240"/>
    <n v="121240"/>
    <n v="0.25727866904337493"/>
    <n v="-752"/>
    <n v="-7.9157894736842111E-3"/>
    <s v="https://i.ibb.co/1f2ZbR0x/66866424995883-69879159-removebg-preview.png"/>
  </r>
  <r>
    <s v="TXN-1071"/>
    <d v="2023-04-26T00:00:00"/>
    <s v="Amina Appiah"/>
    <x v="0"/>
    <x v="0"/>
    <x v="0"/>
    <x v="0"/>
    <x v="4"/>
    <x v="5"/>
    <n v="5"/>
    <n v="30000"/>
    <n v="150000"/>
    <n v="41842"/>
    <n v="40000"/>
    <n v="209210"/>
    <n v="59210"/>
    <n v="0.28301706419387218"/>
    <n v="1842"/>
    <n v="4.6050000000000001E-2"/>
    <s v="https://i.ibb.co/Q7ybDRfL/9446ae15f3a246e364b7c15811d12476-removebg-preview.png"/>
  </r>
  <r>
    <s v="TXN-1072"/>
    <d v="2022-10-24T00:00:00"/>
    <s v="Ngozi Acheampong"/>
    <x v="0"/>
    <x v="3"/>
    <x v="1"/>
    <x v="2"/>
    <x v="3"/>
    <x v="15"/>
    <n v="3"/>
    <n v="35000"/>
    <n v="105000"/>
    <n v="41829"/>
    <n v="45000"/>
    <n v="125487"/>
    <n v="20487"/>
    <n v="0.16325993927657845"/>
    <n v="-3171"/>
    <n v="-7.0466666666666664E-2"/>
    <s v="https://i.ibb.co/ZpxtR2fy/2025-mercedes-benz-e-class-e-350-4matic-sedan-angular-front-exterior-view-100958645-l-removebg-previ.png"/>
  </r>
  <r>
    <s v="TXN-1073"/>
    <d v="2020-10-03T00:00:00"/>
    <s v="Wale Agyei"/>
    <x v="0"/>
    <x v="0"/>
    <x v="6"/>
    <x v="0"/>
    <x v="0"/>
    <x v="10"/>
    <n v="4"/>
    <n v="30000"/>
    <n v="120000"/>
    <n v="40003"/>
    <n v="40000"/>
    <n v="160012"/>
    <n v="40012"/>
    <n v="0.25005624578156638"/>
    <n v="3"/>
    <n v="7.4999999999999993E-5"/>
    <s v="https://i.ibb.co/Q7ybDRfL/9446ae15f3a246e364b7c15811d12476-removebg-preview.png"/>
  </r>
  <r>
    <s v="TXN-1074"/>
    <d v="2022-11-01T00:00:00"/>
    <s v="Kemi Mwangi"/>
    <x v="0"/>
    <x v="1"/>
    <x v="1"/>
    <x v="1"/>
    <x v="5"/>
    <x v="18"/>
    <n v="5"/>
    <n v="40000"/>
    <n v="200000"/>
    <n v="55843"/>
    <n v="52000"/>
    <n v="279215"/>
    <n v="79215"/>
    <n v="0.2837061046147234"/>
    <n v="3843"/>
    <n v="7.3903846153846153E-2"/>
    <s v="https://i.ibb.co/VYQrTB1m/images-13-removebg-preview.png"/>
  </r>
  <r>
    <s v="TXN-1075"/>
    <d v="2020-08-21T00:00:00"/>
    <s v="Obiora Boateng"/>
    <x v="0"/>
    <x v="0"/>
    <x v="6"/>
    <x v="0"/>
    <x v="2"/>
    <x v="8"/>
    <n v="5"/>
    <n v="30000"/>
    <n v="150000"/>
    <n v="37962"/>
    <n v="40000"/>
    <n v="189810"/>
    <n v="39810"/>
    <n v="0.209736051841315"/>
    <n v="-2038"/>
    <n v="-5.0950000000000002E-2"/>
    <s v="https://i.ibb.co/Q7ybDRfL/9446ae15f3a246e364b7c15811d12476-removebg-preview.png"/>
  </r>
  <r>
    <s v="TXN-1076"/>
    <d v="2024-07-22T00:00:00"/>
    <s v="Bukola Kamau"/>
    <x v="0"/>
    <x v="9"/>
    <x v="3"/>
    <x v="1"/>
    <x v="5"/>
    <x v="7"/>
    <n v="4"/>
    <n v="48000"/>
    <n v="192000"/>
    <n v="60312"/>
    <n v="62000"/>
    <n v="241248"/>
    <n v="49248"/>
    <n v="0.20413847990449663"/>
    <n v="-1688"/>
    <n v="-2.7225806451612902E-2"/>
    <s v="https://i.ibb.co/5gFdbgGX/images-12-removebg-preview.png"/>
  </r>
  <r>
    <s v="TXN-1077"/>
    <d v="2024-01-17T00:00:00"/>
    <s v="Taiwo Mensah"/>
    <x v="0"/>
    <x v="3"/>
    <x v="4"/>
    <x v="2"/>
    <x v="5"/>
    <x v="7"/>
    <n v="4"/>
    <n v="35000"/>
    <n v="140000"/>
    <n v="48385"/>
    <n v="45000"/>
    <n v="193540"/>
    <n v="53540"/>
    <n v="0.27663532086390408"/>
    <n v="3385"/>
    <n v="7.5222222222222218E-2"/>
    <s v="https://i.ibb.co/ZpxtR2fy/2025-mercedes-benz-e-class-e-350-4matic-sedan-angular-front-exterior-view-100958645-l-removebg-previ.png"/>
  </r>
  <r>
    <s v="TXN-1078"/>
    <d v="2022-02-04T00:00:00"/>
    <s v="Sola Acheampong"/>
    <x v="1"/>
    <x v="4"/>
    <x v="4"/>
    <x v="1"/>
    <x v="3"/>
    <x v="6"/>
    <n v="4"/>
    <n v="45000"/>
    <n v="180000"/>
    <n v="64544"/>
    <n v="62000"/>
    <n v="258176"/>
    <n v="78176"/>
    <n v="0.30280118988596927"/>
    <n v="2544"/>
    <n v="4.1032258064516131E-2"/>
    <s v="https://i.ibb.co/gF7TBV3f/images-15-removebg-preview.png"/>
  </r>
  <r>
    <s v="TXN-1079"/>
    <d v="2024-05-06T00:00:00"/>
    <s v="Taiwo Kamau"/>
    <x v="2"/>
    <x v="10"/>
    <x v="0"/>
    <x v="2"/>
    <x v="0"/>
    <x v="10"/>
    <n v="2"/>
    <n v="14000"/>
    <n v="28000"/>
    <n v="20348"/>
    <n v="20000"/>
    <n v="40696"/>
    <n v="12696"/>
    <n v="0.3119716925496363"/>
    <n v="348"/>
    <n v="1.7399999999999999E-2"/>
    <s v="https://i.ibb.co/jP31Crpy/images-16-removebg-preview.png"/>
  </r>
  <r>
    <s v="TXN-1080"/>
    <d v="2024-05-23T00:00:00"/>
    <s v="Taiwo Mwangi"/>
    <x v="0"/>
    <x v="3"/>
    <x v="6"/>
    <x v="2"/>
    <x v="3"/>
    <x v="4"/>
    <n v="2"/>
    <n v="35000"/>
    <n v="70000"/>
    <n v="46064"/>
    <n v="45000"/>
    <n v="92128"/>
    <n v="22128"/>
    <n v="0.24018756512678013"/>
    <n v="1064"/>
    <n v="2.3644444444444444E-2"/>
    <s v="https://i.ibb.co/ZpxtR2fy/2025-mercedes-benz-e-class-e-350-4matic-sedan-angular-front-exterior-view-100958645-l-removebg-previ.png"/>
  </r>
  <r>
    <s v="TXN-1081"/>
    <d v="2020-03-24T00:00:00"/>
    <s v="Taiwo Diallo"/>
    <x v="0"/>
    <x v="9"/>
    <x v="1"/>
    <x v="1"/>
    <x v="4"/>
    <x v="5"/>
    <n v="5"/>
    <n v="48000"/>
    <n v="240000"/>
    <n v="60845"/>
    <n v="62000"/>
    <n v="304225"/>
    <n v="64225"/>
    <n v="0.21111019804421069"/>
    <n v="-1155"/>
    <n v="-1.8629032258064514E-2"/>
    <s v="https://i.ibb.co/5gFdbgGX/images-12-removebg-preview.png"/>
  </r>
  <r>
    <s v="TXN-1082"/>
    <d v="2021-08-22T00:00:00"/>
    <s v="Jumoke Traore"/>
    <x v="0"/>
    <x v="0"/>
    <x v="1"/>
    <x v="0"/>
    <x v="2"/>
    <x v="2"/>
    <n v="5"/>
    <n v="30000"/>
    <n v="150000"/>
    <n v="41447"/>
    <n v="40000"/>
    <n v="207235"/>
    <n v="57235"/>
    <n v="0.27618404227085191"/>
    <n v="1447"/>
    <n v="3.6174999999999999E-2"/>
    <s v="https://i.ibb.co/Q7ybDRfL/9446ae15f3a246e364b7c15811d12476-removebg-preview.png"/>
  </r>
  <r>
    <s v="TXN-1083"/>
    <d v="2023-08-10T00:00:00"/>
    <s v="Taiwo Mensah"/>
    <x v="0"/>
    <x v="7"/>
    <x v="0"/>
    <x v="1"/>
    <x v="5"/>
    <x v="17"/>
    <n v="2"/>
    <n v="65000"/>
    <n v="130000"/>
    <n v="90887"/>
    <n v="85000"/>
    <n v="181774"/>
    <n v="51774"/>
    <n v="0.28482621276970305"/>
    <n v="5887"/>
    <n v="6.9258823529411762E-2"/>
    <s v="https://i.ibb.co/Qv7s3XZY/2023-mercedes-benz-gls-class-maybach-gls-600-4matic-suv-angular-front-exterior-view-100919852-m-remo.png"/>
  </r>
  <r>
    <s v="TXN-1084"/>
    <d v="2021-11-22T00:00:00"/>
    <s v="Amara Hassan"/>
    <x v="2"/>
    <x v="11"/>
    <x v="6"/>
    <x v="1"/>
    <x v="5"/>
    <x v="17"/>
    <n v="4"/>
    <n v="20000"/>
    <n v="80000"/>
    <n v="29852"/>
    <n v="28000"/>
    <n v="119408"/>
    <n v="39408"/>
    <n v="0.33002813881816961"/>
    <n v="1852"/>
    <n v="6.6142857142857142E-2"/>
    <s v="https://i.ibb.co/hRb9F2x9/carshot-CR-V-front-CR-VHYBAWDSPORTL-2026-Radiant-Red-Metallic-RS6-H8-TJFW-R-569-M-1.png"/>
  </r>
  <r>
    <s v="TXN-1085"/>
    <d v="2020-08-17T00:00:00"/>
    <s v="Taiwo Appiah"/>
    <x v="0"/>
    <x v="3"/>
    <x v="5"/>
    <x v="2"/>
    <x v="2"/>
    <x v="8"/>
    <n v="4"/>
    <n v="35000"/>
    <n v="140000"/>
    <n v="47694"/>
    <n v="45000"/>
    <n v="190776"/>
    <n v="50776"/>
    <n v="0.26615507191680293"/>
    <n v="2694"/>
    <n v="5.9866666666666665E-2"/>
    <s v="https://i.ibb.co/ZpxtR2fy/2025-mercedes-benz-e-class-e-350-4matic-sedan-angular-front-exterior-view-100958645-l-removebg-previ.png"/>
  </r>
  <r>
    <s v="TXN-1086"/>
    <d v="2024-06-03T00:00:00"/>
    <s v="Wale Appiah"/>
    <x v="0"/>
    <x v="0"/>
    <x v="0"/>
    <x v="0"/>
    <x v="3"/>
    <x v="4"/>
    <n v="4"/>
    <n v="30000"/>
    <n v="120000"/>
    <n v="38967"/>
    <n v="40000"/>
    <n v="155868"/>
    <n v="35868"/>
    <n v="0.23011779197782739"/>
    <n v="-1033"/>
    <n v="-2.5825000000000001E-2"/>
    <s v="https://i.ibb.co/Q7ybDRfL/9446ae15f3a246e364b7c15811d12476-removebg-preview.png"/>
  </r>
  <r>
    <s v="TXN-1087"/>
    <d v="2021-05-22T00:00:00"/>
    <s v="Kehinde Dlamini"/>
    <x v="0"/>
    <x v="2"/>
    <x v="0"/>
    <x v="2"/>
    <x v="0"/>
    <x v="10"/>
    <n v="2"/>
    <n v="22000"/>
    <n v="44000"/>
    <n v="28526"/>
    <n v="28000"/>
    <n v="57052"/>
    <n v="13052"/>
    <n v="0.22877375026291805"/>
    <n v="526"/>
    <n v="1.8785714285714284E-2"/>
    <s v="https://i.ibb.co/jPH5PFzp/l74920220426094748-removebg-preview.png"/>
  </r>
  <r>
    <s v="TXN-1088"/>
    <d v="2020-06-02T00:00:00"/>
    <s v="Obiora Traore"/>
    <x v="0"/>
    <x v="7"/>
    <x v="5"/>
    <x v="1"/>
    <x v="0"/>
    <x v="14"/>
    <n v="3"/>
    <n v="65000"/>
    <n v="195000"/>
    <n v="80463"/>
    <n v="85000"/>
    <n v="241389"/>
    <n v="46389"/>
    <n v="0.19217528553496638"/>
    <n v="-4537"/>
    <n v="-5.3376470588235296E-2"/>
    <s v="https://i.ibb.co/Qv7s3XZY/2023-mercedes-benz-gls-class-maybach-gls-600-4matic-suv-angular-front-exterior-view-100919852-m-remo.png"/>
  </r>
  <r>
    <s v="TXN-1089"/>
    <d v="2024-02-06T00:00:00"/>
    <s v="Hassan Mwangi"/>
    <x v="0"/>
    <x v="5"/>
    <x v="2"/>
    <x v="2"/>
    <x v="4"/>
    <x v="5"/>
    <n v="2"/>
    <n v="70000"/>
    <n v="140000"/>
    <n v="96002"/>
    <n v="95000"/>
    <n v="192004"/>
    <n v="52004"/>
    <n v="0.27084852398908354"/>
    <n v="1002"/>
    <n v="1.0547368421052632E-2"/>
    <s v="https://i.ibb.co/1f2ZbR0x/66866424995883-69879159-removebg-preview.png"/>
  </r>
  <r>
    <s v="TXN-1090"/>
    <d v="2022-01-08T00:00:00"/>
    <s v="Kwame Acheampong"/>
    <x v="2"/>
    <x v="10"/>
    <x v="0"/>
    <x v="2"/>
    <x v="2"/>
    <x v="12"/>
    <n v="3"/>
    <n v="14000"/>
    <n v="42000"/>
    <n v="19213"/>
    <n v="20000"/>
    <n v="57639"/>
    <n v="15639"/>
    <n v="0.27132670587622965"/>
    <n v="-787"/>
    <n v="-3.9350000000000003E-2"/>
    <s v="https://i.ibb.co/jP31Crpy/images-16-removebg-preview.png"/>
  </r>
  <r>
    <s v="TXN-1091"/>
    <d v="2021-05-28T00:00:00"/>
    <s v="Jumoke Dlamini"/>
    <x v="2"/>
    <x v="10"/>
    <x v="6"/>
    <x v="2"/>
    <x v="5"/>
    <x v="17"/>
    <n v="3"/>
    <n v="14000"/>
    <n v="42000"/>
    <n v="21478"/>
    <n v="20000"/>
    <n v="64434"/>
    <n v="22434"/>
    <n v="0.34817022069093956"/>
    <n v="1478"/>
    <n v="7.3899999999999993E-2"/>
    <s v="https://i.ibb.co/jP31Crpy/images-16-removebg-preview.png"/>
  </r>
  <r>
    <s v="TXN-1092"/>
    <d v="2023-11-27T00:00:00"/>
    <s v="Emeka Osei"/>
    <x v="1"/>
    <x v="4"/>
    <x v="5"/>
    <x v="1"/>
    <x v="3"/>
    <x v="15"/>
    <n v="3"/>
    <n v="45000"/>
    <n v="135000"/>
    <n v="59975"/>
    <n v="62000"/>
    <n v="179925"/>
    <n v="44925"/>
    <n v="0.24968736973739059"/>
    <n v="-2025"/>
    <n v="-3.2661290322580645E-2"/>
    <s v="https://i.ibb.co/gF7TBV3f/images-15-removebg-preview.png"/>
  </r>
  <r>
    <s v="TXN-1093"/>
    <d v="2024-04-26T00:00:00"/>
    <s v="Amina Appiah"/>
    <x v="1"/>
    <x v="4"/>
    <x v="4"/>
    <x v="1"/>
    <x v="0"/>
    <x v="14"/>
    <n v="3"/>
    <n v="45000"/>
    <n v="135000"/>
    <n v="64432"/>
    <n v="62000"/>
    <n v="193296"/>
    <n v="58296"/>
    <n v="0.30158927241122424"/>
    <n v="2432"/>
    <n v="3.9225806451612902E-2"/>
    <s v="https://i.ibb.co/gF7TBV3f/images-15-removebg-preview.png"/>
  </r>
  <r>
    <s v="TXN-1094"/>
    <d v="2020-11-04T00:00:00"/>
    <s v="Adeola Mensah"/>
    <x v="2"/>
    <x v="10"/>
    <x v="0"/>
    <x v="2"/>
    <x v="3"/>
    <x v="6"/>
    <n v="2"/>
    <n v="14000"/>
    <n v="28000"/>
    <n v="20818"/>
    <n v="20000"/>
    <n v="41636"/>
    <n v="13636"/>
    <n v="0.32750504371217215"/>
    <n v="818"/>
    <n v="4.0899999999999999E-2"/>
    <s v="https://i.ibb.co/jP31Crpy/images-16-removebg-preview.png"/>
  </r>
  <r>
    <s v="TXN-1095"/>
    <d v="2021-03-14T00:00:00"/>
    <s v="Chisom Nkosi"/>
    <x v="0"/>
    <x v="3"/>
    <x v="0"/>
    <x v="2"/>
    <x v="2"/>
    <x v="2"/>
    <n v="3"/>
    <n v="35000"/>
    <n v="105000"/>
    <n v="47949"/>
    <n v="45000"/>
    <n v="143847"/>
    <n v="38847"/>
    <n v="0.27005776971365408"/>
    <n v="2949"/>
    <n v="6.5533333333333332E-2"/>
    <s v="https://i.ibb.co/ZpxtR2fy/2025-mercedes-benz-e-class-e-350-4matic-sedan-angular-front-exterior-view-100958645-l-removebg-previ.png"/>
  </r>
  <r>
    <s v="TXN-1096"/>
    <d v="2022-12-10T00:00:00"/>
    <s v="Bukola Kamau"/>
    <x v="0"/>
    <x v="0"/>
    <x v="4"/>
    <x v="0"/>
    <x v="2"/>
    <x v="2"/>
    <n v="4"/>
    <n v="30000"/>
    <n v="120000"/>
    <n v="42650"/>
    <n v="40000"/>
    <n v="170600"/>
    <n v="50600"/>
    <n v="0.29660023446658851"/>
    <n v="2650"/>
    <n v="6.6250000000000003E-2"/>
    <s v="https://i.ibb.co/Q7ybDRfL/9446ae15f3a246e364b7c15811d12476-removebg-preview.png"/>
  </r>
  <r>
    <s v="TXN-1097"/>
    <d v="2020-09-09T00:00:00"/>
    <s v="Chisom Quartey"/>
    <x v="1"/>
    <x v="6"/>
    <x v="5"/>
    <x v="2"/>
    <x v="3"/>
    <x v="4"/>
    <n v="4"/>
    <n v="15000"/>
    <n v="60000"/>
    <n v="21528"/>
    <n v="22000"/>
    <n v="86112"/>
    <n v="26112"/>
    <n v="0.3032329988851728"/>
    <n v="-472"/>
    <n v="-2.1454545454545455E-2"/>
    <s v="https://i.ibb.co/jP4HPbyV/images-14-removebg-preview.png"/>
  </r>
  <r>
    <s v="TXN-1098"/>
    <d v="2023-04-22T00:00:00"/>
    <s v="Wale Agyei"/>
    <x v="0"/>
    <x v="5"/>
    <x v="5"/>
    <x v="2"/>
    <x v="0"/>
    <x v="14"/>
    <n v="3"/>
    <n v="70000"/>
    <n v="210000"/>
    <n v="99901"/>
    <n v="95000"/>
    <n v="299703"/>
    <n v="89703"/>
    <n v="0.29930631325011764"/>
    <n v="4901"/>
    <n v="5.1589473684210525E-2"/>
    <s v="https://i.ibb.co/1f2ZbR0x/66866424995883-69879159-removebg-preview.png"/>
  </r>
  <r>
    <s v="TXN-1099"/>
    <d v="2021-02-14T00:00:00"/>
    <s v="Amara Nwosu"/>
    <x v="2"/>
    <x v="10"/>
    <x v="0"/>
    <x v="2"/>
    <x v="3"/>
    <x v="6"/>
    <n v="3"/>
    <n v="14000"/>
    <n v="42000"/>
    <n v="21036"/>
    <n v="20000"/>
    <n v="63108"/>
    <n v="21108"/>
    <n v="0.33447423464536985"/>
    <n v="1036"/>
    <n v="5.1799999999999999E-2"/>
    <s v="https://i.ibb.co/jP31Crpy/images-16-removebg-preview.png"/>
  </r>
  <r>
    <s v="TXN-1100"/>
    <d v="2024-12-22T00:00:00"/>
    <s v="Bisi Boateng"/>
    <x v="1"/>
    <x v="6"/>
    <x v="3"/>
    <x v="2"/>
    <x v="4"/>
    <x v="5"/>
    <n v="4"/>
    <n v="15000"/>
    <n v="60000"/>
    <n v="20718"/>
    <n v="22000"/>
    <n v="82872"/>
    <n v="22872"/>
    <n v="0.27599189110918043"/>
    <n v="-1282"/>
    <n v="-5.8272727272727275E-2"/>
    <s v="https://i.ibb.co/jP4HPbyV/images-14-removebg-preview.png"/>
  </r>
  <r>
    <s v="TXN-1101"/>
    <d v="2021-06-23T00:00:00"/>
    <s v="Adeola Adeyemi"/>
    <x v="1"/>
    <x v="4"/>
    <x v="5"/>
    <x v="1"/>
    <x v="0"/>
    <x v="0"/>
    <n v="3"/>
    <n v="45000"/>
    <n v="135000"/>
    <n v="61089"/>
    <n v="62000"/>
    <n v="183267"/>
    <n v="48267"/>
    <n v="0.26336983745027748"/>
    <n v="-911"/>
    <n v="-1.4693548387096774E-2"/>
    <s v="https://i.ibb.co/gF7TBV3f/images-15-removebg-preview.png"/>
  </r>
  <r>
    <s v="TXN-1102"/>
    <d v="2021-05-13T00:00:00"/>
    <s v="Bukola Kamau"/>
    <x v="1"/>
    <x v="6"/>
    <x v="5"/>
    <x v="2"/>
    <x v="5"/>
    <x v="18"/>
    <n v="3"/>
    <n v="15000"/>
    <n v="45000"/>
    <n v="23414"/>
    <n v="22000"/>
    <n v="70242"/>
    <n v="25242"/>
    <n v="0.35935764926966773"/>
    <n v="1414"/>
    <n v="6.4272727272727273E-2"/>
    <s v="https://i.ibb.co/jP4HPbyV/images-14-removebg-preview.png"/>
  </r>
  <r>
    <s v="TXN-1103"/>
    <d v="2021-11-04T00:00:00"/>
    <s v="Kwame Banda"/>
    <x v="1"/>
    <x v="4"/>
    <x v="4"/>
    <x v="1"/>
    <x v="0"/>
    <x v="0"/>
    <n v="1"/>
    <n v="45000"/>
    <n v="45000"/>
    <n v="66673"/>
    <n v="62000"/>
    <n v="66673"/>
    <n v="21673"/>
    <n v="0.32506411890870368"/>
    <n v="4673"/>
    <n v="7.5370967741935482E-2"/>
    <s v="https://i.ibb.co/gF7TBV3f/images-15-removebg-preview.png"/>
  </r>
  <r>
    <s v="TXN-1104"/>
    <d v="2022-01-20T00:00:00"/>
    <s v="Tunde Banda"/>
    <x v="0"/>
    <x v="1"/>
    <x v="4"/>
    <x v="1"/>
    <x v="3"/>
    <x v="6"/>
    <n v="2"/>
    <n v="40000"/>
    <n v="80000"/>
    <n v="50574"/>
    <n v="52000"/>
    <n v="101148"/>
    <n v="21148"/>
    <n v="0.20907976430576977"/>
    <n v="-1426"/>
    <n v="-2.7423076923076922E-2"/>
    <s v="https://i.ibb.co/VYQrTB1m/images-13-removebg-preview.png"/>
  </r>
  <r>
    <s v="TXN-1105"/>
    <d v="2024-04-12T00:00:00"/>
    <s v="Chidi Asante"/>
    <x v="2"/>
    <x v="10"/>
    <x v="5"/>
    <x v="2"/>
    <x v="5"/>
    <x v="18"/>
    <n v="2"/>
    <n v="14000"/>
    <n v="28000"/>
    <n v="21173"/>
    <n v="20000"/>
    <n v="42346"/>
    <n v="14346"/>
    <n v="0.33878052236338735"/>
    <n v="1173"/>
    <n v="5.8650000000000001E-2"/>
    <s v="https://i.ibb.co/jP31Crpy/images-16-removebg-preview.png"/>
  </r>
  <r>
    <s v="TXN-1106"/>
    <d v="2023-08-03T00:00:00"/>
    <s v="Rotimi Osei"/>
    <x v="2"/>
    <x v="11"/>
    <x v="0"/>
    <x v="1"/>
    <x v="5"/>
    <x v="18"/>
    <n v="1"/>
    <n v="20000"/>
    <n v="20000"/>
    <n v="27646"/>
    <n v="28000"/>
    <n v="27646"/>
    <n v="7646"/>
    <n v="0.2765680387759531"/>
    <n v="-354"/>
    <n v="-1.2642857142857143E-2"/>
    <s v="https://i.ibb.co/hRb9F2x9/carshot-CR-V-front-CR-VHYBAWDSPORTL-2026-Radiant-Red-Metallic-RS6-H8-TJFW-R-569-M-1.png"/>
  </r>
  <r>
    <s v="TXN-1107"/>
    <d v="2024-11-26T00:00:00"/>
    <s v="Bukola Appiah"/>
    <x v="0"/>
    <x v="1"/>
    <x v="0"/>
    <x v="1"/>
    <x v="1"/>
    <x v="16"/>
    <n v="1"/>
    <n v="40000"/>
    <n v="40000"/>
    <n v="55706"/>
    <n v="52000"/>
    <n v="55706"/>
    <n v="15706"/>
    <n v="0.2819444943094101"/>
    <n v="3706"/>
    <n v="7.1269230769230765E-2"/>
    <s v="https://i.ibb.co/VYQrTB1m/images-13-removebg-preview.png"/>
  </r>
  <r>
    <s v="TXN-1108"/>
    <d v="2020-08-23T00:00:00"/>
    <s v="Wale Agyei"/>
    <x v="0"/>
    <x v="5"/>
    <x v="6"/>
    <x v="2"/>
    <x v="1"/>
    <x v="1"/>
    <n v="1"/>
    <n v="70000"/>
    <n v="70000"/>
    <n v="93879"/>
    <n v="95000"/>
    <n v="93879"/>
    <n v="23879"/>
    <n v="0.25435933488852674"/>
    <n v="-1121"/>
    <n v="-1.18E-2"/>
    <s v="https://i.ibb.co/1f2ZbR0x/66866424995883-69879159-removebg-preview.png"/>
  </r>
  <r>
    <s v="TXN-1109"/>
    <d v="2023-06-23T00:00:00"/>
    <s v="Bukola Nkosi"/>
    <x v="0"/>
    <x v="0"/>
    <x v="1"/>
    <x v="0"/>
    <x v="3"/>
    <x v="4"/>
    <n v="5"/>
    <n v="30000"/>
    <n v="150000"/>
    <n v="40796"/>
    <n v="40000"/>
    <n v="203980"/>
    <n v="53980"/>
    <n v="0.26463378762623785"/>
    <n v="796"/>
    <n v="1.9900000000000001E-2"/>
    <s v="https://i.ibb.co/Q7ybDRfL/9446ae15f3a246e364b7c15811d12476-removebg-preview.png"/>
  </r>
  <r>
    <s v="TXN-1110"/>
    <d v="2023-04-28T00:00:00"/>
    <s v="Amina Boateng"/>
    <x v="2"/>
    <x v="11"/>
    <x v="0"/>
    <x v="1"/>
    <x v="2"/>
    <x v="2"/>
    <n v="5"/>
    <n v="20000"/>
    <n v="100000"/>
    <n v="26273"/>
    <n v="28000"/>
    <n v="131365"/>
    <n v="31365"/>
    <n v="0.23876222738172267"/>
    <n v="-1727"/>
    <n v="-6.167857142857143E-2"/>
    <s v="https://i.ibb.co/hRb9F2x9/carshot-CR-V-front-CR-VHYBAWDSPORTL-2026-Radiant-Red-Metallic-RS6-H8-TJFW-R-569-M-1.png"/>
  </r>
  <r>
    <s v="TXN-1111"/>
    <d v="2022-11-11T00:00:00"/>
    <s v="Bisi Quartey"/>
    <x v="0"/>
    <x v="5"/>
    <x v="6"/>
    <x v="2"/>
    <x v="5"/>
    <x v="7"/>
    <n v="3"/>
    <n v="70000"/>
    <n v="210000"/>
    <n v="98490"/>
    <n v="95000"/>
    <n v="295470"/>
    <n v="85470"/>
    <n v="0.28926794598436389"/>
    <n v="3490"/>
    <n v="3.6736842105263158E-2"/>
    <s v="https://i.ibb.co/1f2ZbR0x/66866424995883-69879159-removebg-preview.png"/>
  </r>
  <r>
    <s v="TXN-1112"/>
    <d v="2021-06-24T00:00:00"/>
    <s v="Nkechi Quartey"/>
    <x v="0"/>
    <x v="3"/>
    <x v="0"/>
    <x v="2"/>
    <x v="4"/>
    <x v="5"/>
    <n v="1"/>
    <n v="35000"/>
    <n v="35000"/>
    <n v="42071"/>
    <n v="45000"/>
    <n v="42071"/>
    <n v="7071"/>
    <n v="0.16807301941955266"/>
    <n v="-2929"/>
    <n v="-6.5088888888888891E-2"/>
    <s v="https://i.ibb.co/ZpxtR2fy/2025-mercedes-benz-e-class-e-350-4matic-sedan-angular-front-exterior-view-100958645-l-removebg-previ.png"/>
  </r>
  <r>
    <s v="TXN-1113"/>
    <d v="2022-01-24T00:00:00"/>
    <s v="Obiora Dlamini"/>
    <x v="2"/>
    <x v="10"/>
    <x v="4"/>
    <x v="2"/>
    <x v="1"/>
    <x v="16"/>
    <n v="4"/>
    <n v="14000"/>
    <n v="56000"/>
    <n v="21412"/>
    <n v="20000"/>
    <n v="85648"/>
    <n v="29648"/>
    <n v="0.34616103119745939"/>
    <n v="1412"/>
    <n v="7.0599999999999996E-2"/>
    <s v="https://i.ibb.co/jP31Crpy/images-16-removebg-preview.png"/>
  </r>
  <r>
    <s v="TXN-1114"/>
    <d v="2022-09-28T00:00:00"/>
    <s v="Aisha Osei"/>
    <x v="2"/>
    <x v="10"/>
    <x v="3"/>
    <x v="2"/>
    <x v="2"/>
    <x v="8"/>
    <n v="1"/>
    <n v="14000"/>
    <n v="14000"/>
    <n v="19943"/>
    <n v="20000"/>
    <n v="19943"/>
    <n v="5943"/>
    <n v="0.29799929799929797"/>
    <n v="-57"/>
    <n v="-2.8500000000000001E-3"/>
    <s v="https://i.ibb.co/jP31Crpy/images-16-removebg-preview.png"/>
  </r>
  <r>
    <s v="TXN-1115"/>
    <d v="2022-05-06T00:00:00"/>
    <s v="Obiora Okafor"/>
    <x v="1"/>
    <x v="4"/>
    <x v="5"/>
    <x v="1"/>
    <x v="3"/>
    <x v="15"/>
    <n v="3"/>
    <n v="45000"/>
    <n v="135000"/>
    <n v="66257"/>
    <n v="62000"/>
    <n v="198771"/>
    <n v="63771"/>
    <n v="0.32082647871168329"/>
    <n v="4257"/>
    <n v="6.8661290322580643E-2"/>
    <s v="https://i.ibb.co/gF7TBV3f/images-15-removebg-preview.png"/>
  </r>
  <r>
    <s v="TXN-1116"/>
    <d v="2021-09-24T00:00:00"/>
    <s v="Taiwo Acheampong"/>
    <x v="0"/>
    <x v="3"/>
    <x v="5"/>
    <x v="2"/>
    <x v="3"/>
    <x v="4"/>
    <n v="1"/>
    <n v="35000"/>
    <n v="35000"/>
    <n v="42421"/>
    <n v="45000"/>
    <n v="42421"/>
    <n v="7421"/>
    <n v="0.17493694160910869"/>
    <n v="-2579"/>
    <n v="-5.7311111111111111E-2"/>
    <s v="https://i.ibb.co/ZpxtR2fy/2025-mercedes-benz-e-class-e-350-4matic-sedan-angular-front-exterior-view-100958645-l-removebg-previ.png"/>
  </r>
  <r>
    <s v="TXN-1117"/>
    <d v="2021-03-01T00:00:00"/>
    <s v="Fatima Quartey"/>
    <x v="0"/>
    <x v="0"/>
    <x v="1"/>
    <x v="0"/>
    <x v="5"/>
    <x v="18"/>
    <n v="5"/>
    <n v="30000"/>
    <n v="150000"/>
    <n v="41418"/>
    <n v="40000"/>
    <n v="207090"/>
    <n v="57090"/>
    <n v="0.27567724177893671"/>
    <n v="1418"/>
    <n v="3.5450000000000002E-2"/>
    <s v="https://i.ibb.co/Q7ybDRfL/9446ae15f3a246e364b7c15811d12476-removebg-preview.png"/>
  </r>
  <r>
    <s v="TXN-1118"/>
    <d v="2021-05-14T00:00:00"/>
    <s v="Obiora Boateng"/>
    <x v="2"/>
    <x v="10"/>
    <x v="6"/>
    <x v="2"/>
    <x v="1"/>
    <x v="9"/>
    <n v="5"/>
    <n v="14000"/>
    <n v="70000"/>
    <n v="19757"/>
    <n v="20000"/>
    <n v="98785"/>
    <n v="28785"/>
    <n v="0.29139039327833172"/>
    <n v="-243"/>
    <n v="-1.2149999999999999E-2"/>
    <s v="https://i.ibb.co/jP31Crpy/images-16-removebg-preview.png"/>
  </r>
  <r>
    <s v="TXN-1119"/>
    <d v="2024-07-08T00:00:00"/>
    <s v="Emeka Owusu"/>
    <x v="0"/>
    <x v="7"/>
    <x v="5"/>
    <x v="1"/>
    <x v="1"/>
    <x v="9"/>
    <n v="3"/>
    <n v="65000"/>
    <n v="195000"/>
    <n v="85366"/>
    <n v="85000"/>
    <n v="256098"/>
    <n v="61098"/>
    <n v="0.23857273387531336"/>
    <n v="366"/>
    <n v="4.3058823529411767E-3"/>
    <s v="https://i.ibb.co/Qv7s3XZY/2023-mercedes-benz-gls-class-maybach-gls-600-4matic-suv-angular-front-exterior-view-100919852-m-remo.png"/>
  </r>
  <r>
    <s v="TXN-1120"/>
    <d v="2023-12-16T00:00:00"/>
    <s v="Tunde Muller"/>
    <x v="0"/>
    <x v="0"/>
    <x v="5"/>
    <x v="0"/>
    <x v="5"/>
    <x v="18"/>
    <n v="1"/>
    <n v="30000"/>
    <n v="30000"/>
    <n v="38652"/>
    <n v="40000"/>
    <n v="38652"/>
    <n v="8652"/>
    <n v="0.22384352685501396"/>
    <n v="-1348"/>
    <n v="-3.3700000000000001E-2"/>
    <s v="https://i.ibb.co/Q7ybDRfL/9446ae15f3a246e364b7c15811d12476-removebg-preview.png"/>
  </r>
  <r>
    <s v="TXN-1121"/>
    <d v="2020-12-13T00:00:00"/>
    <s v="Chidi Acheampong"/>
    <x v="1"/>
    <x v="6"/>
    <x v="5"/>
    <x v="2"/>
    <x v="2"/>
    <x v="8"/>
    <n v="3"/>
    <n v="15000"/>
    <n v="45000"/>
    <n v="23173"/>
    <n v="22000"/>
    <n v="69519"/>
    <n v="24519"/>
    <n v="0.35269494670521728"/>
    <n v="1173"/>
    <n v="5.331818181818182E-2"/>
    <s v="https://i.ibb.co/jP4HPbyV/images-14-removebg-preview.png"/>
  </r>
  <r>
    <s v="TXN-1122"/>
    <d v="2020-07-04T00:00:00"/>
    <s v="Seun Agyei"/>
    <x v="0"/>
    <x v="5"/>
    <x v="3"/>
    <x v="2"/>
    <x v="1"/>
    <x v="9"/>
    <n v="4"/>
    <n v="70000"/>
    <n v="280000"/>
    <n v="96116"/>
    <n v="95000"/>
    <n v="384464"/>
    <n v="104464"/>
    <n v="0.27171334637313249"/>
    <n v="1116"/>
    <n v="1.1747368421052631E-2"/>
    <s v="https://i.ibb.co/1f2ZbR0x/66866424995883-69879159-removebg-preview.png"/>
  </r>
  <r>
    <s v="TXN-1123"/>
    <d v="2023-10-14T00:00:00"/>
    <s v="Olumide Nwosu"/>
    <x v="0"/>
    <x v="3"/>
    <x v="2"/>
    <x v="2"/>
    <x v="4"/>
    <x v="11"/>
    <n v="1"/>
    <n v="35000"/>
    <n v="35000"/>
    <n v="44544"/>
    <n v="45000"/>
    <n v="44544"/>
    <n v="9544"/>
    <n v="0.21426005747126436"/>
    <n v="-456"/>
    <n v="-1.0133333333333333E-2"/>
    <s v="https://i.ibb.co/ZpxtR2fy/2025-mercedes-benz-e-class-e-350-4matic-sedan-angular-front-exterior-view-100958645-l-removebg-previ.png"/>
  </r>
  <r>
    <s v="TXN-1124"/>
    <d v="2022-04-17T00:00:00"/>
    <s v="Bisi Adeyemi"/>
    <x v="0"/>
    <x v="9"/>
    <x v="1"/>
    <x v="1"/>
    <x v="0"/>
    <x v="10"/>
    <n v="1"/>
    <n v="48000"/>
    <n v="48000"/>
    <n v="57798"/>
    <n v="62000"/>
    <n v="57798"/>
    <n v="9798"/>
    <n v="0.16952143672791445"/>
    <n v="-4202"/>
    <n v="-6.7774193548387096E-2"/>
    <s v="https://i.ibb.co/5gFdbgGX/images-12-removebg-preview.png"/>
  </r>
  <r>
    <s v="TXN-1125"/>
    <d v="2020-11-25T00:00:00"/>
    <s v="Folake Acheampong"/>
    <x v="0"/>
    <x v="1"/>
    <x v="4"/>
    <x v="1"/>
    <x v="1"/>
    <x v="3"/>
    <n v="2"/>
    <n v="40000"/>
    <n v="80000"/>
    <n v="49284"/>
    <n v="52000"/>
    <n v="98568"/>
    <n v="18568"/>
    <n v="0.18837756675594514"/>
    <n v="-2716"/>
    <n v="-5.2230769230769233E-2"/>
    <s v="https://i.ibb.co/VYQrTB1m/images-13-removebg-preview.png"/>
  </r>
  <r>
    <s v="TXN-1126"/>
    <d v="2022-11-28T00:00:00"/>
    <s v="Adeola Kamau"/>
    <x v="1"/>
    <x v="4"/>
    <x v="3"/>
    <x v="1"/>
    <x v="2"/>
    <x v="8"/>
    <n v="5"/>
    <n v="45000"/>
    <n v="225000"/>
    <n v="63418"/>
    <n v="62000"/>
    <n v="317090"/>
    <n v="92090"/>
    <n v="0.290422277586805"/>
    <n v="1418"/>
    <n v="2.2870967741935484E-2"/>
    <s v="https://i.ibb.co/gF7TBV3f/images-15-removebg-preview.png"/>
  </r>
  <r>
    <s v="TXN-1127"/>
    <d v="2023-05-03T00:00:00"/>
    <s v="Amara Mensah"/>
    <x v="0"/>
    <x v="0"/>
    <x v="1"/>
    <x v="0"/>
    <x v="4"/>
    <x v="13"/>
    <n v="3"/>
    <n v="30000"/>
    <n v="90000"/>
    <n v="40585"/>
    <n v="40000"/>
    <n v="121755"/>
    <n v="31755"/>
    <n v="0.26081064432672169"/>
    <n v="585"/>
    <n v="1.4625000000000001E-2"/>
    <s v="https://i.ibb.co/Q7ybDRfL/9446ae15f3a246e364b7c15811d12476-removebg-preview.png"/>
  </r>
  <r>
    <s v="TXN-1128"/>
    <d v="2023-09-20T00:00:00"/>
    <s v="Amara Acheampong"/>
    <x v="2"/>
    <x v="10"/>
    <x v="1"/>
    <x v="2"/>
    <x v="5"/>
    <x v="7"/>
    <n v="1"/>
    <n v="14000"/>
    <n v="14000"/>
    <n v="21166"/>
    <n v="20000"/>
    <n v="21166"/>
    <n v="7166"/>
    <n v="0.33856184446754228"/>
    <n v="1166"/>
    <n v="5.8299999999999998E-2"/>
    <s v="https://i.ibb.co/jP31Crpy/images-16-removebg-preview.png"/>
  </r>
  <r>
    <s v="TXN-1129"/>
    <d v="2022-02-15T00:00:00"/>
    <s v="Rotimi Appiah"/>
    <x v="1"/>
    <x v="4"/>
    <x v="5"/>
    <x v="1"/>
    <x v="2"/>
    <x v="8"/>
    <n v="2"/>
    <n v="45000"/>
    <n v="90000"/>
    <n v="61758"/>
    <n v="62000"/>
    <n v="123516"/>
    <n v="33516"/>
    <n v="0.27134946079860101"/>
    <n v="-242"/>
    <n v="-3.9032258064516127E-3"/>
    <s v="https://i.ibb.co/gF7TBV3f/images-15-removebg-preview.png"/>
  </r>
  <r>
    <s v="TXN-1130"/>
    <d v="2021-10-17T00:00:00"/>
    <s v="Chisom Nwosu"/>
    <x v="2"/>
    <x v="11"/>
    <x v="1"/>
    <x v="1"/>
    <x v="3"/>
    <x v="4"/>
    <n v="4"/>
    <n v="20000"/>
    <n v="80000"/>
    <n v="27721"/>
    <n v="28000"/>
    <n v="110884"/>
    <n v="30884"/>
    <n v="0.2785253057249017"/>
    <n v="-279"/>
    <n v="-9.9642857142857137E-3"/>
    <s v="https://i.ibb.co/hRb9F2x9/carshot-CR-V-front-CR-VHYBAWDSPORTL-2026-Radiant-Red-Metallic-RS6-H8-TJFW-R-569-M-1.png"/>
  </r>
  <r>
    <s v="TXN-1131"/>
    <d v="2024-02-11T00:00:00"/>
    <s v="Sola Okonkwo"/>
    <x v="2"/>
    <x v="10"/>
    <x v="5"/>
    <x v="2"/>
    <x v="4"/>
    <x v="13"/>
    <n v="3"/>
    <n v="14000"/>
    <n v="42000"/>
    <n v="20313"/>
    <n v="20000"/>
    <n v="60939"/>
    <n v="18939"/>
    <n v="0.31078619603209767"/>
    <n v="313"/>
    <n v="1.5650000000000001E-2"/>
    <s v="https://i.ibb.co/jP31Crpy/images-16-removebg-preview.png"/>
  </r>
  <r>
    <s v="TXN-1132"/>
    <d v="2021-11-19T00:00:00"/>
    <s v="Dayo Appiah"/>
    <x v="1"/>
    <x v="4"/>
    <x v="5"/>
    <x v="1"/>
    <x v="0"/>
    <x v="14"/>
    <n v="3"/>
    <n v="45000"/>
    <n v="135000"/>
    <n v="65703"/>
    <n v="62000"/>
    <n v="197109"/>
    <n v="62109"/>
    <n v="0.31509976713392085"/>
    <n v="3703"/>
    <n v="5.9725806451612906E-2"/>
    <s v="https://i.ibb.co/gF7TBV3f/images-15-removebg-preview.png"/>
  </r>
  <r>
    <s v="TXN-1133"/>
    <d v="2022-07-18T00:00:00"/>
    <s v="Abena Appiah"/>
    <x v="1"/>
    <x v="4"/>
    <x v="3"/>
    <x v="1"/>
    <x v="0"/>
    <x v="14"/>
    <n v="1"/>
    <n v="45000"/>
    <n v="45000"/>
    <n v="64072"/>
    <n v="62000"/>
    <n v="64072"/>
    <n v="19072"/>
    <n v="0.29766512673242601"/>
    <n v="2072"/>
    <n v="3.3419354838709676E-2"/>
    <s v="https://i.ibb.co/gF7TBV3f/images-15-removebg-preview.png"/>
  </r>
  <r>
    <s v="TXN-1134"/>
    <d v="2021-11-08T00:00:00"/>
    <s v="Tunde Hassan"/>
    <x v="0"/>
    <x v="2"/>
    <x v="2"/>
    <x v="2"/>
    <x v="0"/>
    <x v="10"/>
    <n v="2"/>
    <n v="22000"/>
    <n v="44000"/>
    <n v="27384"/>
    <n v="28000"/>
    <n v="54768"/>
    <n v="10768"/>
    <n v="0.19661115980134386"/>
    <n v="-616"/>
    <n v="-2.1999999999999999E-2"/>
    <s v="https://i.ibb.co/jPH5PFzp/l74920220426094748-removebg-preview.png"/>
  </r>
  <r>
    <s v="TXN-1135"/>
    <d v="2024-06-22T00:00:00"/>
    <s v="Adaeze Hassan"/>
    <x v="1"/>
    <x v="6"/>
    <x v="5"/>
    <x v="2"/>
    <x v="1"/>
    <x v="9"/>
    <n v="5"/>
    <n v="15000"/>
    <n v="75000"/>
    <n v="22953"/>
    <n v="22000"/>
    <n v="114765"/>
    <n v="39765"/>
    <n v="0.34649065481636387"/>
    <n v="953"/>
    <n v="4.3318181818181818E-2"/>
    <s v="https://i.ibb.co/jP4HPbyV/images-14-removebg-preview.png"/>
  </r>
  <r>
    <s v="TXN-1136"/>
    <d v="2021-12-22T00:00:00"/>
    <s v="Sola Frimpong"/>
    <x v="2"/>
    <x v="11"/>
    <x v="3"/>
    <x v="1"/>
    <x v="3"/>
    <x v="4"/>
    <n v="4"/>
    <n v="20000"/>
    <n v="80000"/>
    <n v="27721"/>
    <n v="28000"/>
    <n v="110884"/>
    <n v="30884"/>
    <n v="0.2785253057249017"/>
    <n v="-279"/>
    <n v="-9.9642857142857137E-3"/>
    <s v="https://i.ibb.co/hRb9F2x9/carshot-CR-V-front-CR-VHYBAWDSPORTL-2026-Radiant-Red-Metallic-RS6-H8-TJFW-R-569-M-1.png"/>
  </r>
  <r>
    <s v="TXN-1137"/>
    <d v="2024-06-07T00:00:00"/>
    <s v="Bukola Nwosu"/>
    <x v="0"/>
    <x v="0"/>
    <x v="4"/>
    <x v="0"/>
    <x v="4"/>
    <x v="5"/>
    <n v="4"/>
    <n v="30000"/>
    <n v="120000"/>
    <n v="42980"/>
    <n v="40000"/>
    <n v="171920"/>
    <n v="51920"/>
    <n v="0.30200093066542577"/>
    <n v="2980"/>
    <n v="7.4499999999999997E-2"/>
    <s v="https://i.ibb.co/Q7ybDRfL/9446ae15f3a246e364b7c15811d12476-removebg-preview.png"/>
  </r>
  <r>
    <s v="TXN-1138"/>
    <d v="2020-05-28T00:00:00"/>
    <s v="Chisom Banda"/>
    <x v="0"/>
    <x v="9"/>
    <x v="2"/>
    <x v="1"/>
    <x v="4"/>
    <x v="11"/>
    <n v="5"/>
    <n v="48000"/>
    <n v="240000"/>
    <n v="65144"/>
    <n v="62000"/>
    <n v="325720"/>
    <n v="85720"/>
    <n v="0.26317082156453397"/>
    <n v="3144"/>
    <n v="5.0709677419354837E-2"/>
    <s v="https://i.ibb.co/5gFdbgGX/images-12-removebg-preview.png"/>
  </r>
  <r>
    <s v="TXN-1139"/>
    <d v="2023-03-17T00:00:00"/>
    <s v="Amina Acheampong"/>
    <x v="0"/>
    <x v="3"/>
    <x v="6"/>
    <x v="2"/>
    <x v="1"/>
    <x v="1"/>
    <n v="3"/>
    <n v="35000"/>
    <n v="105000"/>
    <n v="46894"/>
    <n v="45000"/>
    <n v="140682"/>
    <n v="35682"/>
    <n v="0.25363585959824286"/>
    <n v="1894"/>
    <n v="4.2088888888888891E-2"/>
    <s v="https://i.ibb.co/ZpxtR2fy/2025-mercedes-benz-e-class-e-350-4matic-sedan-angular-front-exterior-view-100958645-l-removebg-previ.png"/>
  </r>
  <r>
    <s v="TXN-1140"/>
    <d v="2022-02-13T00:00:00"/>
    <s v="Chidi Diallo"/>
    <x v="0"/>
    <x v="2"/>
    <x v="2"/>
    <x v="2"/>
    <x v="5"/>
    <x v="18"/>
    <n v="3"/>
    <n v="22000"/>
    <n v="66000"/>
    <n v="27536"/>
    <n v="28000"/>
    <n v="82608"/>
    <n v="16608"/>
    <n v="0.2010459035444509"/>
    <n v="-464"/>
    <n v="-1.657142857142857E-2"/>
    <s v="https://i.ibb.co/jPH5PFzp/l74920220426094748-removebg-preview.p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1277A-E866-4724-AE56-BFCB90ECC3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Items count="1">
    <i/>
  </rowItems>
  <colItems count="1">
    <i/>
  </colItems>
  <dataFields count="1">
    <dataField name="Total Revenue($)"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1AF9B-D2A7-441F-A447-783C50847C6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colHeaderCaption="Year">
  <location ref="F31:N39" firstHeaderRow="1" firstDataRow="2" firstDataCol="1"/>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axis="axisCol" showAll="0">
      <items count="8">
        <item x="5"/>
        <item x="2"/>
        <item x="3"/>
        <item x="6"/>
        <item x="1"/>
        <item x="0"/>
        <item x="4"/>
        <item t="default"/>
      </items>
    </pivotField>
    <pivotField showAll="0">
      <items count="4">
        <item x="2"/>
        <item x="1"/>
        <item x="0"/>
        <item t="default"/>
      </items>
    </pivotField>
    <pivotField axis="axisRow"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7"/>
  </rowFields>
  <rowItems count="7">
    <i>
      <x/>
    </i>
    <i>
      <x v="1"/>
    </i>
    <i>
      <x v="2"/>
    </i>
    <i>
      <x v="3"/>
    </i>
    <i>
      <x v="4"/>
    </i>
    <i>
      <x v="5"/>
    </i>
    <i t="grand">
      <x/>
    </i>
  </rowItems>
  <colFields count="1">
    <field x="5"/>
  </colFields>
  <colItems count="8">
    <i>
      <x/>
    </i>
    <i>
      <x v="1"/>
    </i>
    <i>
      <x v="2"/>
    </i>
    <i>
      <x v="3"/>
    </i>
    <i>
      <x v="4"/>
    </i>
    <i>
      <x v="5"/>
    </i>
    <i>
      <x v="6"/>
    </i>
    <i t="grand">
      <x/>
    </i>
  </colItems>
  <dataFields count="1">
    <dataField name="Sum of Revenue($)" fld="14" baseField="0" baseItem="0" numFmtId="165"/>
  </dataFields>
  <chartFormats count="8">
    <chartFormat chart="5" format="14" series="1">
      <pivotArea type="data" outline="0" fieldPosition="0">
        <references count="2">
          <reference field="4294967294" count="1" selected="0">
            <x v="0"/>
          </reference>
          <reference field="5" count="1" selected="0">
            <x v="0"/>
          </reference>
        </references>
      </pivotArea>
    </chartFormat>
    <chartFormat chart="5" format="15" series="1">
      <pivotArea type="data" outline="0" fieldPosition="0">
        <references count="2">
          <reference field="4294967294" count="1" selected="0">
            <x v="0"/>
          </reference>
          <reference field="5" count="1" selected="0">
            <x v="1"/>
          </reference>
        </references>
      </pivotArea>
    </chartFormat>
    <chartFormat chart="5" format="16" series="1">
      <pivotArea type="data" outline="0" fieldPosition="0">
        <references count="2">
          <reference field="4294967294" count="1" selected="0">
            <x v="0"/>
          </reference>
          <reference field="5" count="1" selected="0">
            <x v="2"/>
          </reference>
        </references>
      </pivotArea>
    </chartFormat>
    <chartFormat chart="5" format="17" series="1">
      <pivotArea type="data" outline="0" fieldPosition="0">
        <references count="2">
          <reference field="4294967294" count="1" selected="0">
            <x v="0"/>
          </reference>
          <reference field="5" count="1" selected="0">
            <x v="3"/>
          </reference>
        </references>
      </pivotArea>
    </chartFormat>
    <chartFormat chart="5" format="18" series="1">
      <pivotArea type="data" outline="0" fieldPosition="0">
        <references count="2">
          <reference field="4294967294" count="1" selected="0">
            <x v="0"/>
          </reference>
          <reference field="5" count="1" selected="0">
            <x v="4"/>
          </reference>
        </references>
      </pivotArea>
    </chartFormat>
    <chartFormat chart="5" format="19" series="1">
      <pivotArea type="data" outline="0" fieldPosition="0">
        <references count="2">
          <reference field="4294967294" count="1" selected="0">
            <x v="0"/>
          </reference>
          <reference field="5" count="1" selected="0">
            <x v="5"/>
          </reference>
        </references>
      </pivotArea>
    </chartFormat>
    <chartFormat chart="5" format="20" series="1">
      <pivotArea type="data" outline="0" fieldPosition="0">
        <references count="2">
          <reference field="4294967294" count="1" selected="0">
            <x v="0"/>
          </reference>
          <reference field="5" count="1" selected="0">
            <x v="6"/>
          </reference>
        </references>
      </pivotArea>
    </chartFormat>
    <chartFormat chart="5"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3AFB8-E438-4D8C-BF45-A1733F2E2A8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34:B38" firstHeaderRow="1" firstDataRow="1" firstDataCol="1"/>
  <pivotFields count="20">
    <pivotField showAll="0"/>
    <pivotField numFmtId="164" showAll="0"/>
    <pivotField showAll="0"/>
    <pivotField showAll="0">
      <items count="4">
        <item x="2"/>
        <item x="0"/>
        <item x="1"/>
        <item t="default"/>
      </items>
    </pivotField>
    <pivotField showAll="0" measureFilter="1">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axis="axisRow" showAll="0" measureFilter="1">
      <items count="20">
        <item x="3"/>
        <item x="4"/>
        <item x="2"/>
        <item x="10"/>
        <item x="12"/>
        <item x="13"/>
        <item x="0"/>
        <item x="14"/>
        <item x="11"/>
        <item x="8"/>
        <item x="5"/>
        <item x="16"/>
        <item x="17"/>
        <item x="15"/>
        <item x="1"/>
        <item x="7"/>
        <item x="18"/>
        <item x="9"/>
        <item x="6"/>
        <item t="default"/>
      </items>
    </pivotField>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8"/>
  </rowFields>
  <rowItems count="4">
    <i>
      <x v="9"/>
    </i>
    <i>
      <x v="10"/>
    </i>
    <i>
      <x v="17"/>
    </i>
    <i t="grand">
      <x/>
    </i>
  </rowItems>
  <colItems count="1">
    <i/>
  </colItems>
  <dataFields count="1">
    <dataField name="Sum of Revenue($)" fld="14"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3" iMeasureFld="0">
      <autoFilter ref="A1">
        <filterColumn colId="0">
          <top10 val="3" filterVal="3"/>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3F04A-9421-4BDC-85A9-17ADF8B1B7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C3:D10" firstHeaderRow="1" firstDataRow="1" firstDataCol="1"/>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axis="axisRow"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7"/>
  </rowFields>
  <rowItems count="7">
    <i>
      <x/>
    </i>
    <i>
      <x v="1"/>
    </i>
    <i>
      <x v="2"/>
    </i>
    <i>
      <x v="3"/>
    </i>
    <i>
      <x v="4"/>
    </i>
    <i>
      <x v="5"/>
    </i>
    <i t="grand">
      <x/>
    </i>
  </rowItems>
  <colItems count="1">
    <i/>
  </colItems>
  <dataFields count="1">
    <dataField name="Sum of Revenue($)"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EE8AB7-75A5-4734-9189-561AA3F7B5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A13" firstHeaderRow="1" firstDataRow="1" firstDataCol="0"/>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numFmtId="165" showAll="0"/>
    <pivotField dataField="1" numFmtId="165" showAll="0"/>
    <pivotField numFmtId="9" showAll="0"/>
    <pivotField numFmtId="165" showAll="0"/>
    <pivotField numFmtId="166" showAll="0"/>
    <pivotField showAll="0"/>
  </pivotFields>
  <rowItems count="1">
    <i/>
  </rowItems>
  <colItems count="1">
    <i/>
  </colItems>
  <dataFields count="1">
    <dataField name=" Total Profit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AF3D0-644C-4549-94C3-2E4175EBBA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5" firstHeaderRow="1" firstDataRow="1" firstDataCol="0"/>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9" showAll="0"/>
    <pivotField numFmtId="165" showAll="0"/>
    <pivotField numFmtId="166" showAll="0"/>
    <pivotField showAll="0"/>
  </pivotFields>
  <rowItems count="1">
    <i/>
  </rowItems>
  <colItems count="1">
    <i/>
  </colItems>
  <dataFields count="1">
    <dataField name="Average of Profit Margin(%)" fld="1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5251B2-9BA8-4676-A779-DF0EED317BE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colHeaderCaption="Car Make">
  <location ref="F20:J29" firstHeaderRow="1" firstDataRow="2" firstDataCol="1"/>
  <pivotFields count="20">
    <pivotField showAll="0"/>
    <pivotField numFmtId="164" showAll="0"/>
    <pivotField showAll="0"/>
    <pivotField axis="axisCol" showAll="0">
      <items count="4">
        <item x="2"/>
        <item x="0"/>
        <item x="1"/>
        <item t="default"/>
      </items>
    </pivotField>
    <pivotField showAll="0">
      <items count="14">
        <item x="8"/>
        <item x="10"/>
        <item x="2"/>
        <item x="6"/>
        <item x="12"/>
        <item x="11"/>
        <item x="3"/>
        <item x="1"/>
        <item x="9"/>
        <item x="7"/>
        <item x="4"/>
        <item x="5"/>
        <item x="0"/>
        <item t="default"/>
      </items>
    </pivotField>
    <pivotField axis="axisRow"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5"/>
  </rowFields>
  <rowItems count="8">
    <i>
      <x/>
    </i>
    <i>
      <x v="1"/>
    </i>
    <i>
      <x v="2"/>
    </i>
    <i>
      <x v="3"/>
    </i>
    <i>
      <x v="4"/>
    </i>
    <i>
      <x v="5"/>
    </i>
    <i>
      <x v="6"/>
    </i>
    <i t="grand">
      <x/>
    </i>
  </rowItems>
  <colFields count="1">
    <field x="3"/>
  </colFields>
  <colItems count="4">
    <i>
      <x/>
    </i>
    <i>
      <x v="1"/>
    </i>
    <i>
      <x v="2"/>
    </i>
    <i t="grand">
      <x/>
    </i>
  </colItems>
  <dataFields count="1">
    <dataField name="Sum of Revenue($)" fld="14" baseField="0" baseItem="0" numFmtId="165"/>
  </dataFields>
  <chartFormats count="1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11" format="6" series="1">
      <pivotArea type="data" outline="0" fieldPosition="0">
        <references count="2">
          <reference field="4294967294" count="1" selected="0">
            <x v="0"/>
          </reference>
          <reference field="3" count="1" selected="0">
            <x v="0"/>
          </reference>
        </references>
      </pivotArea>
    </chartFormat>
    <chartFormat chart="11" format="7" series="1">
      <pivotArea type="data" outline="0" fieldPosition="0">
        <references count="2">
          <reference field="4294967294" count="1" selected="0">
            <x v="0"/>
          </reference>
          <reference field="3" count="1" selected="0">
            <x v="1"/>
          </reference>
        </references>
      </pivotArea>
    </chartFormat>
    <chartFormat chart="11" format="8" series="1">
      <pivotArea type="data" outline="0" fieldPosition="0">
        <references count="2">
          <reference field="4294967294" count="1" selected="0">
            <x v="0"/>
          </reference>
          <reference field="3" count="1" selected="0">
            <x v="2"/>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AC9044-4EA3-4D00-BF34-B69597CC8DF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op 5 Car Model">
  <location ref="C25:D31" firstHeaderRow="1" firstDataRow="1" firstDataCol="1"/>
  <pivotFields count="20">
    <pivotField showAll="0"/>
    <pivotField numFmtId="164" showAll="0"/>
    <pivotField showAll="0"/>
    <pivotField showAll="0">
      <items count="4">
        <item x="2"/>
        <item x="0"/>
        <item x="1"/>
        <item t="default"/>
      </items>
    </pivotField>
    <pivotField axis="axisRow" showAll="0" measureFilter="1">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4"/>
  </rowFields>
  <rowItems count="6">
    <i>
      <x v="7"/>
    </i>
    <i>
      <x v="9"/>
    </i>
    <i>
      <x v="10"/>
    </i>
    <i>
      <x v="11"/>
    </i>
    <i>
      <x v="12"/>
    </i>
    <i t="grand">
      <x/>
    </i>
  </rowItems>
  <colItems count="1">
    <i/>
  </colItems>
  <dataFields count="1">
    <dataField name="Sum of Revenue($)" fld="14" baseField="0" baseItem="0" numFmtId="165"/>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7"/>
          </reference>
        </references>
      </pivotArea>
    </chartFormat>
    <chartFormat chart="5" format="9">
      <pivotArea type="data" outline="0" fieldPosition="0">
        <references count="2">
          <reference field="4294967294" count="1" selected="0">
            <x v="0"/>
          </reference>
          <reference field="4" count="1" selected="0">
            <x v="9"/>
          </reference>
        </references>
      </pivotArea>
    </chartFormat>
    <chartFormat chart="5" format="10">
      <pivotArea type="data" outline="0" fieldPosition="0">
        <references count="2">
          <reference field="4294967294" count="1" selected="0">
            <x v="0"/>
          </reference>
          <reference field="4" count="1" selected="0">
            <x v="10"/>
          </reference>
        </references>
      </pivotArea>
    </chartFormat>
    <chartFormat chart="5" format="11">
      <pivotArea type="data" outline="0" fieldPosition="0">
        <references count="2">
          <reference field="4294967294" count="1" selected="0">
            <x v="0"/>
          </reference>
          <reference field="4" count="1" selected="0">
            <x v="11"/>
          </reference>
        </references>
      </pivotArea>
    </chartFormat>
    <chartFormat chart="5" format="12">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C3B02D-7DDA-4AF6-B619-AB5EEECA9B0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numFmtId="165" showAll="0"/>
    <pivotField numFmtId="165" showAll="0"/>
    <pivotField numFmtId="9" showAll="0"/>
    <pivotField numFmtId="165" showAll="0"/>
    <pivotField dataField="1" numFmtId="166" showAll="0"/>
    <pivotField showAll="0"/>
  </pivotFields>
  <rowItems count="1">
    <i/>
  </rowItems>
  <colItems count="1">
    <i/>
  </colItems>
  <dataFields count="1">
    <dataField name="Average Variance (%)" fld="1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9D9F19-E656-4A11-AB28-27A888CA83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dataField="1"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numFmtId="165" showAll="0"/>
    <pivotField numFmtId="165" showAll="0"/>
    <pivotField numFmtId="9" showAll="0"/>
    <pivotField numFmtId="165" showAll="0"/>
    <pivotField numFmtId="166" showAll="0"/>
    <pivotField showAll="0"/>
  </pivotFields>
  <rowItems count="1">
    <i/>
  </rowItems>
  <colItems count="1">
    <i/>
  </colItems>
  <dataFields count="1">
    <dataField name="Total Transac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970486-0F44-4668-991A-CAF16CDDCC7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r Type">
  <location ref="F12:G16" firstHeaderRow="1" firstDataRow="1" firstDataCol="1"/>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axis="axisRow" showAll="0">
      <items count="4">
        <item x="2"/>
        <item x="1"/>
        <item x="0"/>
        <item t="default"/>
      </items>
    </pivotField>
    <pivotField showAll="0">
      <items count="7">
        <item x="2"/>
        <item x="3"/>
        <item x="5"/>
        <item x="1"/>
        <item x="4"/>
        <item x="0"/>
        <item t="default"/>
      </items>
    </pivotField>
    <pivotField showAll="0"/>
    <pivotField showAll="0"/>
    <pivotField numFmtId="165" showAll="0"/>
    <pivotField numFmtId="165" showAll="0"/>
    <pivotField numFmtId="165" showAll="0"/>
    <pivotField numFmtId="165" showAll="0"/>
    <pivotField dataField="1" numFmtId="165" showAll="0"/>
    <pivotField numFmtId="165" showAll="0"/>
    <pivotField numFmtId="9" showAll="0"/>
    <pivotField numFmtId="165" showAll="0"/>
    <pivotField numFmtId="166" showAll="0"/>
    <pivotField showAll="0"/>
  </pivotFields>
  <rowFields count="1">
    <field x="6"/>
  </rowFields>
  <rowItems count="4">
    <i>
      <x/>
    </i>
    <i>
      <x v="1"/>
    </i>
    <i>
      <x v="2"/>
    </i>
    <i t="grand">
      <x/>
    </i>
  </rowItems>
  <colItems count="1">
    <i/>
  </colItems>
  <dataFields count="1">
    <dataField name="Sum of Revenue($)" fld="14"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4E0182-7544-414D-AC21-77ADFFF9A5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0">
    <pivotField showAll="0"/>
    <pivotField numFmtId="164" showAll="0"/>
    <pivotField showAll="0"/>
    <pivotField showAll="0">
      <items count="4">
        <item x="2"/>
        <item x="0"/>
        <item x="1"/>
        <item t="default"/>
      </items>
    </pivotField>
    <pivotField showAll="0">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dataField="1" showAll="0"/>
    <pivotField numFmtId="165" showAll="0"/>
    <pivotField numFmtId="165" showAll="0"/>
    <pivotField numFmtId="165" showAll="0"/>
    <pivotField numFmtId="165" showAll="0"/>
    <pivotField numFmtId="165" showAll="0"/>
    <pivotField numFmtId="165" showAll="0"/>
    <pivotField numFmtId="9" showAll="0"/>
    <pivotField numFmtId="165" showAll="0"/>
    <pivotField numFmtId="166" showAll="0"/>
    <pivotField showAll="0"/>
  </pivotFields>
  <rowItems count="1">
    <i/>
  </rowItems>
  <colItems count="1">
    <i/>
  </colItems>
  <dataFields count="1">
    <dataField name="Total Car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ABF856-6493-4C69-9C6A-0918172F86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Top 5 Car Model">
  <location ref="F3:G9" firstHeaderRow="1" firstDataRow="1" firstDataCol="1"/>
  <pivotFields count="20">
    <pivotField showAll="0"/>
    <pivotField numFmtId="164" showAll="0"/>
    <pivotField showAll="0"/>
    <pivotField showAll="0">
      <items count="4">
        <item x="2"/>
        <item x="0"/>
        <item x="1"/>
        <item t="default"/>
      </items>
    </pivotField>
    <pivotField axis="axisRow" showAll="0" measureFilter="1">
      <items count="14">
        <item x="8"/>
        <item x="10"/>
        <item x="2"/>
        <item x="6"/>
        <item x="12"/>
        <item x="11"/>
        <item x="3"/>
        <item x="1"/>
        <item x="9"/>
        <item x="7"/>
        <item x="4"/>
        <item x="5"/>
        <item x="0"/>
        <item t="default"/>
      </items>
    </pivotField>
    <pivotField showAll="0">
      <items count="8">
        <item x="5"/>
        <item x="2"/>
        <item x="3"/>
        <item x="6"/>
        <item x="1"/>
        <item x="0"/>
        <item x="4"/>
        <item t="default"/>
      </items>
    </pivotField>
    <pivotField showAll="0">
      <items count="4">
        <item x="2"/>
        <item x="1"/>
        <item x="0"/>
        <item t="default"/>
      </items>
    </pivotField>
    <pivotField showAll="0">
      <items count="7">
        <item x="2"/>
        <item x="3"/>
        <item x="5"/>
        <item x="1"/>
        <item x="4"/>
        <item x="0"/>
        <item t="default"/>
      </items>
    </pivotField>
    <pivotField showAll="0"/>
    <pivotField dataField="1" showAll="0"/>
    <pivotField numFmtId="165" showAll="0"/>
    <pivotField numFmtId="165" showAll="0"/>
    <pivotField numFmtId="165" showAll="0"/>
    <pivotField numFmtId="165" showAll="0"/>
    <pivotField numFmtId="165" showAll="0"/>
    <pivotField numFmtId="165" showAll="0"/>
    <pivotField numFmtId="9" showAll="0"/>
    <pivotField numFmtId="165" showAll="0"/>
    <pivotField numFmtId="166" showAll="0"/>
    <pivotField showAll="0"/>
  </pivotFields>
  <rowFields count="1">
    <field x="4"/>
  </rowFields>
  <rowItems count="6">
    <i>
      <x v="1"/>
    </i>
    <i>
      <x v="7"/>
    </i>
    <i>
      <x v="8"/>
    </i>
    <i>
      <x v="10"/>
    </i>
    <i>
      <x v="12"/>
    </i>
    <i t="grand">
      <x/>
    </i>
  </rowItems>
  <colItems count="1">
    <i/>
  </colItems>
  <dataFields count="1">
    <dataField name="Sum of Units Sold"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7EE78C6-DC83-4D52-B9E2-EF34DCDB8A42}"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C62C3C4-FE43-40B7-81DF-CF95C66ECDCD}" autoFormatId="16" applyNumberFormats="0" applyBorderFormats="0" applyFontFormats="0" applyPatternFormats="0" applyAlignmentFormats="0" applyWidthHeightFormats="0">
  <queryTableRefresh nextId="21">
    <queryTableFields count="20">
      <queryTableField id="1" name="Transaction ID" tableColumnId="1"/>
      <queryTableField id="2" name="Sale Date" tableColumnId="2"/>
      <queryTableField id="3" name="Full Name" tableColumnId="3"/>
      <queryTableField id="4" name="Car Make" tableColumnId="4"/>
      <queryTableField id="5" name="Car Model" tableColumnId="5"/>
      <queryTableField id="6" name="Car Year" tableColumnId="6"/>
      <queryTableField id="7" name="Car Type" tableColumnId="7"/>
      <queryTableField id="8" name="Country" tableColumnId="8"/>
      <queryTableField id="9" name="City" tableColumnId="9"/>
      <queryTableField id="10" name="Units Sold" tableColumnId="10"/>
      <queryTableField id="11" name="Cost Price ($)" tableColumnId="11"/>
      <queryTableField id="18" dataBound="0" tableColumnId="19"/>
      <queryTableField id="12" name="Sale Price ($)" tableColumnId="12"/>
      <queryTableField id="13" name="Market Value ($)" tableColumnId="13"/>
      <queryTableField id="17" dataBound="0" tableColumnId="18"/>
      <queryTableField id="15" dataBound="0" tableColumnId="16"/>
      <queryTableField id="16" dataBound="0" tableColumnId="17"/>
      <queryTableField id="19" dataBound="0" tableColumnId="20"/>
      <queryTableField id="20" dataBound="0" tableColumnId="21"/>
      <queryTableField id="14" name="Image Url" tableColumnId="1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ake" xr10:uid="{B2C8A7A8-E0E6-489A-AF7C-166AF970F0A3}" sourceName="Car Make">
  <pivotTables>
    <pivotTable tabId="4" name="PivotTable17"/>
    <pivotTable tabId="4" name="PivotTable1"/>
    <pivotTable tabId="4" name="PivotTable10"/>
    <pivotTable tabId="4" name="PivotTable13"/>
    <pivotTable tabId="4" name="PivotTable14"/>
    <pivotTable tabId="4" name="PivotTable15"/>
    <pivotTable tabId="4" name="PivotTable16"/>
    <pivotTable tabId="4" name="PivotTable18"/>
    <pivotTable tabId="4" name="PivotTable3"/>
    <pivotTable tabId="4" name="PivotTable4"/>
    <pivotTable tabId="4" name="PivotTable6"/>
    <pivotTable tabId="4" name="PivotTable7"/>
    <pivotTable tabId="4" name="PivotTable9"/>
  </pivotTables>
  <data>
    <tabular pivotCacheId="148615263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61FEC124-B5A7-41AE-9218-6C410B379AB8}" sourceName="Car Model">
  <pivotTables>
    <pivotTable tabId="4" name="PivotTable17"/>
    <pivotTable tabId="4" name="PivotTable1"/>
    <pivotTable tabId="4" name="PivotTable10"/>
    <pivotTable tabId="4" name="PivotTable13"/>
    <pivotTable tabId="4" name="PivotTable14"/>
    <pivotTable tabId="4" name="PivotTable15"/>
    <pivotTable tabId="4" name="PivotTable16"/>
    <pivotTable tabId="4" name="PivotTable18"/>
    <pivotTable tabId="4" name="PivotTable3"/>
    <pivotTable tabId="4" name="PivotTable4"/>
    <pivotTable tabId="4" name="PivotTable6"/>
    <pivotTable tabId="4" name="PivotTable7"/>
    <pivotTable tabId="4" name="PivotTable9"/>
  </pivotTables>
  <data>
    <tabular pivotCacheId="1486152638">
      <items count="13">
        <i x="8" s="1"/>
        <i x="10" s="1"/>
        <i x="2" s="1"/>
        <i x="6" s="1"/>
        <i x="12" s="1"/>
        <i x="11" s="1"/>
        <i x="3" s="1"/>
        <i x="1" s="1"/>
        <i x="9" s="1"/>
        <i x="7" s="1"/>
        <i x="4"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Year" xr10:uid="{EEF6D9E1-DAF3-4B4C-9C1F-013DDD656FB6}" sourceName="Car Year">
  <pivotTables>
    <pivotTable tabId="4" name="PivotTable17"/>
    <pivotTable tabId="4" name="PivotTable1"/>
    <pivotTable tabId="4" name="PivotTable10"/>
    <pivotTable tabId="4" name="PivotTable13"/>
    <pivotTable tabId="4" name="PivotTable14"/>
    <pivotTable tabId="4" name="PivotTable15"/>
    <pivotTable tabId="4" name="PivotTable16"/>
    <pivotTable tabId="4" name="PivotTable18"/>
    <pivotTable tabId="4" name="PivotTable3"/>
    <pivotTable tabId="4" name="PivotTable4"/>
    <pivotTable tabId="4" name="PivotTable6"/>
    <pivotTable tabId="4" name="PivotTable7"/>
    <pivotTable tabId="4" name="PivotTable9"/>
  </pivotTables>
  <data>
    <tabular pivotCacheId="1486152638">
      <items count="7">
        <i x="5" s="1"/>
        <i x="2" s="1"/>
        <i x="3" s="1"/>
        <i x="6"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Type" xr10:uid="{04358F25-51B3-4E05-8034-E207C570B525}" sourceName="Car Type">
  <pivotTables>
    <pivotTable tabId="4" name="PivotTable17"/>
    <pivotTable tabId="4" name="PivotTable1"/>
    <pivotTable tabId="4" name="PivotTable10"/>
    <pivotTable tabId="4" name="PivotTable13"/>
    <pivotTable tabId="4" name="PivotTable14"/>
    <pivotTable tabId="4" name="PivotTable15"/>
    <pivotTable tabId="4" name="PivotTable16"/>
    <pivotTable tabId="4" name="PivotTable18"/>
    <pivotTable tabId="4" name="PivotTable3"/>
    <pivotTable tabId="4" name="PivotTable4"/>
    <pivotTable tabId="4" name="PivotTable6"/>
    <pivotTable tabId="4" name="PivotTable7"/>
    <pivotTable tabId="4" name="PivotTable9"/>
  </pivotTables>
  <data>
    <tabular pivotCacheId="148615263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306D22-A085-47A4-958A-D8D0A0C14A88}" sourceName="Country">
  <pivotTables>
    <pivotTable tabId="4" name="PivotTable17"/>
    <pivotTable tabId="4" name="PivotTable1"/>
    <pivotTable tabId="4" name="PivotTable10"/>
    <pivotTable tabId="4" name="PivotTable13"/>
    <pivotTable tabId="4" name="PivotTable14"/>
    <pivotTable tabId="4" name="PivotTable15"/>
    <pivotTable tabId="4" name="PivotTable16"/>
    <pivotTable tabId="4" name="PivotTable18"/>
    <pivotTable tabId="4" name="PivotTable3"/>
    <pivotTable tabId="4" name="PivotTable4"/>
    <pivotTable tabId="4" name="PivotTable6"/>
    <pivotTable tabId="4" name="PivotTable7"/>
    <pivotTable tabId="4" name="PivotTable9"/>
  </pivotTables>
  <data>
    <tabular pivotCacheId="1486152638">
      <items count="6">
        <i x="2" s="1"/>
        <i x="3"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Make" xr10:uid="{7CE2BA85-6317-4E6B-9C0A-68A4C9674EA7}" cache="Slicer_Car_Make" caption="Car Make" startItem="1" showCaption="0" rowHeight="251883"/>
  <slicer name="Car Model" xr10:uid="{BDB96B89-AC81-4A74-9285-593D180A7D47}" cache="Slicer_Car_Model" caption="Car Model" startItem="4" showCaption="0" rowHeight="251883"/>
  <slicer name="Car Year" xr10:uid="{5ABD275E-DA0E-4E78-AE93-476D0DBF8680}" cache="Slicer_Car_Year" caption="Car Year" startItem="1" showCaption="0" rowHeight="251883"/>
  <slicer name="Car Type" xr10:uid="{E324A157-82E1-45E1-BB63-CFB82998710F}" cache="Slicer_Car_Type" caption="Car Type" startItem="1" showCaption="0" rowHeight="251883"/>
  <slicer name="Country" xr10:uid="{543A79AE-FFBE-4AE6-B4C8-99C9C5763770}" cache="Slicer_Country" caption="Country" showCaption="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265B99-829E-41C6-AACE-C779E30C35B0}" name="New_Country" displayName="New_Country" ref="A1:A7" tableType="queryTable" totalsRowShown="0">
  <autoFilter ref="A1:A7" xr:uid="{65265B99-829E-41C6-AACE-C779E30C35B0}"/>
  <tableColumns count="1">
    <tableColumn id="1" xr3:uid="{B9DC9CDE-BF46-41EC-9093-C4AEFEC5118B}" uniqueName="1" name="Column1" queryTableFieldId="1"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EA53E-8E9B-43EC-BE83-D6F6653D0B03}" name="Africa_Car_Sales" displayName="Africa_Car_Sales" ref="A1:T141" tableType="queryTable" totalsRowShown="0">
  <autoFilter ref="A1:T141" xr:uid="{079EA53E-8E9B-43EC-BE83-D6F6653D0B03}"/>
  <tableColumns count="20">
    <tableColumn id="1" xr3:uid="{8510F7DC-9FF1-464E-8A08-8B1F93158651}" uniqueName="1" name="Transaction ID" queryTableFieldId="1" dataDxfId="17"/>
    <tableColumn id="2" xr3:uid="{2EBB4085-61FB-4D06-8431-3EECBF4CA0D0}" uniqueName="2" name="Sale Date" queryTableFieldId="2" dataDxfId="16"/>
    <tableColumn id="3" xr3:uid="{ADC09A87-7408-4D67-8059-B3E758675A52}" uniqueName="3" name="Full Name" queryTableFieldId="3" dataDxfId="15"/>
    <tableColumn id="4" xr3:uid="{7D28940A-5383-427D-AC02-2C240DB802DB}" uniqueName="4" name="Car Make" queryTableFieldId="4" dataDxfId="14"/>
    <tableColumn id="5" xr3:uid="{1C473C1B-2548-403D-9C0B-892DE7E57F56}" uniqueName="5" name="Car Model" queryTableFieldId="5" dataDxfId="13"/>
    <tableColumn id="6" xr3:uid="{062BF492-9A35-4879-82E0-8D0E74445B5C}" uniqueName="6" name="Car Year" queryTableFieldId="6"/>
    <tableColumn id="7" xr3:uid="{33BFFEE3-D353-46E9-BE96-7A7F5DE3871A}" uniqueName="7" name="Car Type" queryTableFieldId="7" dataDxfId="12"/>
    <tableColumn id="8" xr3:uid="{8429AAF0-BD20-486A-BAAF-A2217ED160EB}" uniqueName="8" name="Country" queryTableFieldId="8" dataDxfId="11"/>
    <tableColumn id="9" xr3:uid="{035FEAB5-8DD7-42E6-82FC-052701275436}" uniqueName="9" name="City" queryTableFieldId="9" dataDxfId="10"/>
    <tableColumn id="10" xr3:uid="{CD419315-9C3B-4D01-914A-C797C0B78EF3}" uniqueName="10" name="Units Sold" queryTableFieldId="10"/>
    <tableColumn id="11" xr3:uid="{317F0464-1105-4477-A230-DEB0DA7F4DE5}" uniqueName="11" name="Cost Price ($)" queryTableFieldId="11" dataDxfId="9" dataCellStyle="Currency"/>
    <tableColumn id="19" xr3:uid="{50722E37-05DA-4664-AEAD-45475F20DA8B}" uniqueName="19" name="Total Cost Price ($)" queryTableFieldId="18" dataDxfId="8" dataCellStyle="Currency">
      <calculatedColumnFormula>Africa_Car_Sales[[#This Row],[Cost Price ($)]]*Africa_Car_Sales[[#This Row],[Units Sold]]</calculatedColumnFormula>
    </tableColumn>
    <tableColumn id="12" xr3:uid="{22C5A94D-EDB7-4909-88D4-A19A0662A2C5}" uniqueName="12" name="Sale Price ($)" queryTableFieldId="12" dataDxfId="7" dataCellStyle="Currency"/>
    <tableColumn id="13" xr3:uid="{0A7F1356-1EA7-4A07-9208-55582CE69F28}" uniqueName="13" name="Market Value ($)" queryTableFieldId="13" dataDxfId="6" dataCellStyle="Currency"/>
    <tableColumn id="18" xr3:uid="{3BA968CE-B87F-4BFB-98DF-E734F7B10243}" uniqueName="18" name="Revenue($)" queryTableFieldId="17" dataDxfId="5" dataCellStyle="Currency">
      <calculatedColumnFormula>Africa_Car_Sales[[#This Row],[Sale Price ($)]]*Africa_Car_Sales[[#This Row],[Units Sold]]</calculatedColumnFormula>
    </tableColumn>
    <tableColumn id="16" xr3:uid="{41DD1A87-A03E-4BD0-AB05-200F9AB5E6F3}" uniqueName="16" name="Total Profit ($)" queryTableFieldId="15" dataDxfId="4" dataCellStyle="Currency">
      <calculatedColumnFormula>Africa_Car_Sales[[#This Row],[Revenue($)]]-Africa_Car_Sales[[#This Row],[Total Cost Price ($)]]</calculatedColumnFormula>
    </tableColumn>
    <tableColumn id="17" xr3:uid="{C220A049-B729-4242-9B2C-FB541356F71E}" uniqueName="17" name="Profit Margin(%)" queryTableFieldId="16" dataDxfId="3" dataCellStyle="Percent">
      <calculatedColumnFormula>Africa_Car_Sales[[#This Row],[Total Profit ($)]]/Africa_Car_Sales[[#This Row],[Revenue($)]]</calculatedColumnFormula>
    </tableColumn>
    <tableColumn id="20" xr3:uid="{D3507F1D-381C-47DD-85E6-F4CACBD1F6F7}" uniqueName="20" name="Variance" queryTableFieldId="19" dataDxfId="2" dataCellStyle="Percent">
      <calculatedColumnFormula>Africa_Car_Sales[[#This Row],[Sale Price ($)]]-Africa_Car_Sales[[#This Row],[Market Value ($)]]</calculatedColumnFormula>
    </tableColumn>
    <tableColumn id="21" xr3:uid="{D216BF67-25ED-433F-8F0E-2392C4085F88}" uniqueName="21" name="Percentage Variance (%)" queryTableFieldId="20" dataDxfId="1" dataCellStyle="Percent">
      <calculatedColumnFormula>(Africa_Car_Sales[[#This Row],[Sale Price ($)]]-Africa_Car_Sales[[#This Row],[Market Value ($)]])/Africa_Car_Sales[[#This Row],[Market Value ($)]]</calculatedColumnFormula>
    </tableColumn>
    <tableColumn id="14" xr3:uid="{F109E40B-54F8-49F2-9A68-87CDE476D86B}" uniqueName="14" name="Image Url"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hyperlink" Target="https://i.ibb.co/Qv7s3XZY/2023-mercedes-benz-gls-class-maybach-gls-600-4matic-suv-angular-front-exterior-view-100919852-m-remo.png" TargetMode="External"/><Relationship Id="rId2" Type="http://schemas.openxmlformats.org/officeDocument/2006/relationships/hyperlink" Target="https://i.ibb.co/VYQrTB1m/images-13-removebg-preview.png" TargetMode="External"/><Relationship Id="rId1" Type="http://schemas.openxmlformats.org/officeDocument/2006/relationships/hyperlink" Target="https://i.ibb.co/Q7ybDRfL/9446ae15f3a246e364b7c15811d12476-removebg-preview.png" TargetMode="External"/><Relationship Id="rId6" Type="http://schemas.openxmlformats.org/officeDocument/2006/relationships/table" Target="../tables/table2.xml"/><Relationship Id="rId5" Type="http://schemas.openxmlformats.org/officeDocument/2006/relationships/hyperlink" Target="https://i.ibb.co/1f2ZbR0x/66866424995883-69879159-removebg-preview.png" TargetMode="External"/><Relationship Id="rId4" Type="http://schemas.openxmlformats.org/officeDocument/2006/relationships/hyperlink" Target="https://i.ibb.co/gF7TBV3f/images-15-removebg-preview.png" TargetMode="Externa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0E5E-6189-4209-B5F7-0A7083B8AE56}">
  <dimension ref="A1:A7"/>
  <sheetViews>
    <sheetView workbookViewId="0">
      <selection sqref="A1:A7"/>
    </sheetView>
  </sheetViews>
  <sheetFormatPr defaultRowHeight="14.5" x14ac:dyDescent="0.35"/>
  <cols>
    <col min="1" max="1" width="10.7265625" bestFit="1" customWidth="1"/>
  </cols>
  <sheetData>
    <row r="1" spans="1:1" x14ac:dyDescent="0.35">
      <c r="A1" t="s">
        <v>474</v>
      </c>
    </row>
    <row r="2" spans="1:1" x14ac:dyDescent="0.35">
      <c r="A2" t="s">
        <v>20</v>
      </c>
    </row>
    <row r="3" spans="1:1" x14ac:dyDescent="0.35">
      <c r="A3" t="s">
        <v>28</v>
      </c>
    </row>
    <row r="4" spans="1:1" x14ac:dyDescent="0.35">
      <c r="A4" t="s">
        <v>36</v>
      </c>
    </row>
    <row r="5" spans="1:1" x14ac:dyDescent="0.35">
      <c r="A5" t="s">
        <v>62</v>
      </c>
    </row>
    <row r="6" spans="1:1" x14ac:dyDescent="0.35">
      <c r="A6" t="s">
        <v>82</v>
      </c>
    </row>
    <row r="7" spans="1:1" x14ac:dyDescent="0.35">
      <c r="A7" t="s">
        <v>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915C-8A96-4D29-B2C8-430A9EB3D09C}">
  <dimension ref="A3:N39"/>
  <sheetViews>
    <sheetView zoomScale="110" zoomScaleNormal="100" workbookViewId="0">
      <selection activeCell="C4" sqref="C4:D9"/>
    </sheetView>
  </sheetViews>
  <sheetFormatPr defaultRowHeight="14.5" x14ac:dyDescent="0.35"/>
  <cols>
    <col min="1" max="1" width="23.36328125" bestFit="1" customWidth="1"/>
    <col min="2" max="2" width="16.6328125" bestFit="1" customWidth="1"/>
    <col min="3" max="3" width="10.54296875" bestFit="1" customWidth="1"/>
    <col min="4" max="4" width="16.6328125" bestFit="1" customWidth="1"/>
    <col min="6" max="6" width="16.6328125" bestFit="1" customWidth="1"/>
    <col min="7" max="7" width="11.1796875" bestFit="1" customWidth="1"/>
    <col min="8" max="8" width="12.1796875" bestFit="1" customWidth="1"/>
    <col min="9" max="9" width="11.1796875" bestFit="1" customWidth="1"/>
    <col min="10" max="10" width="12.1796875" bestFit="1" customWidth="1"/>
    <col min="11" max="13" width="11.1796875" bestFit="1" customWidth="1"/>
    <col min="14" max="14" width="12.1796875" bestFit="1" customWidth="1"/>
  </cols>
  <sheetData>
    <row r="3" spans="1:10" x14ac:dyDescent="0.35">
      <c r="A3" t="s">
        <v>484</v>
      </c>
      <c r="C3" s="6" t="s">
        <v>7</v>
      </c>
      <c r="D3" t="s">
        <v>479</v>
      </c>
      <c r="F3" s="6" t="s">
        <v>489</v>
      </c>
      <c r="G3" t="s">
        <v>483</v>
      </c>
    </row>
    <row r="4" spans="1:10" x14ac:dyDescent="0.35">
      <c r="A4">
        <v>140</v>
      </c>
      <c r="C4" s="8" t="s">
        <v>36</v>
      </c>
      <c r="D4" s="7">
        <v>4994420</v>
      </c>
      <c r="F4" s="8" t="s">
        <v>114</v>
      </c>
      <c r="G4">
        <v>51</v>
      </c>
      <c r="I4" s="14" t="s">
        <v>7</v>
      </c>
      <c r="J4" s="14" t="s">
        <v>479</v>
      </c>
    </row>
    <row r="5" spans="1:10" x14ac:dyDescent="0.35">
      <c r="C5" s="8" t="s">
        <v>62</v>
      </c>
      <c r="D5" s="7">
        <v>3309220</v>
      </c>
      <c r="F5" s="8" t="s">
        <v>26</v>
      </c>
      <c r="G5">
        <v>59</v>
      </c>
      <c r="I5" s="8" t="s">
        <v>36</v>
      </c>
      <c r="J5" s="7">
        <v>4994420</v>
      </c>
    </row>
    <row r="6" spans="1:10" x14ac:dyDescent="0.35">
      <c r="C6" s="8" t="s">
        <v>82</v>
      </c>
      <c r="D6" s="7">
        <v>3725386</v>
      </c>
      <c r="F6" s="8" t="s">
        <v>98</v>
      </c>
      <c r="G6">
        <v>35</v>
      </c>
      <c r="I6" s="8" t="s">
        <v>62</v>
      </c>
      <c r="J6" s="7">
        <v>3309220</v>
      </c>
    </row>
    <row r="7" spans="1:10" x14ac:dyDescent="0.35">
      <c r="C7" s="8" t="s">
        <v>28</v>
      </c>
      <c r="D7" s="7">
        <v>3786546</v>
      </c>
      <c r="F7" s="8" t="s">
        <v>48</v>
      </c>
      <c r="G7">
        <v>47</v>
      </c>
      <c r="I7" s="8" t="s">
        <v>82</v>
      </c>
      <c r="J7" s="7">
        <v>3725386</v>
      </c>
    </row>
    <row r="8" spans="1:10" x14ac:dyDescent="0.35">
      <c r="C8" s="8" t="s">
        <v>67</v>
      </c>
      <c r="D8" s="7">
        <v>3200857</v>
      </c>
      <c r="F8" s="8" t="s">
        <v>18</v>
      </c>
      <c r="G8">
        <v>56</v>
      </c>
      <c r="I8" s="8" t="s">
        <v>28</v>
      </c>
      <c r="J8" s="7">
        <v>3786546</v>
      </c>
    </row>
    <row r="9" spans="1:10" x14ac:dyDescent="0.35">
      <c r="A9" t="s">
        <v>481</v>
      </c>
      <c r="C9" s="8" t="s">
        <v>20</v>
      </c>
      <c r="D9" s="7">
        <v>2485679</v>
      </c>
      <c r="F9" s="8" t="s">
        <v>480</v>
      </c>
      <c r="G9">
        <v>248</v>
      </c>
      <c r="I9" s="8" t="s">
        <v>67</v>
      </c>
      <c r="J9" s="7">
        <v>3200857</v>
      </c>
    </row>
    <row r="10" spans="1:10" x14ac:dyDescent="0.35">
      <c r="A10" s="7">
        <v>21502108</v>
      </c>
      <c r="C10" s="8" t="s">
        <v>480</v>
      </c>
      <c r="D10" s="7">
        <v>21502108</v>
      </c>
      <c r="I10" s="8" t="s">
        <v>20</v>
      </c>
      <c r="J10" s="7">
        <v>2485679</v>
      </c>
    </row>
    <row r="12" spans="1:10" x14ac:dyDescent="0.35">
      <c r="A12" t="s">
        <v>482</v>
      </c>
      <c r="C12" t="s">
        <v>488</v>
      </c>
      <c r="F12" s="6" t="s">
        <v>6</v>
      </c>
      <c r="G12" t="s">
        <v>479</v>
      </c>
    </row>
    <row r="13" spans="1:10" x14ac:dyDescent="0.35">
      <c r="A13" s="7">
        <v>6149108</v>
      </c>
      <c r="C13" s="11">
        <v>8.890885569167653E-2</v>
      </c>
      <c r="F13" s="8" t="s">
        <v>35</v>
      </c>
      <c r="G13" s="7">
        <v>7873610</v>
      </c>
    </row>
    <row r="14" spans="1:10" x14ac:dyDescent="0.35">
      <c r="F14" s="8" t="s">
        <v>27</v>
      </c>
      <c r="G14" s="7">
        <v>11353945</v>
      </c>
    </row>
    <row r="15" spans="1:10" x14ac:dyDescent="0.35">
      <c r="F15" s="8" t="s">
        <v>19</v>
      </c>
      <c r="G15" s="7">
        <v>2274553</v>
      </c>
    </row>
    <row r="16" spans="1:10" x14ac:dyDescent="0.35">
      <c r="F16" s="8" t="s">
        <v>480</v>
      </c>
      <c r="G16" s="7">
        <v>21502108</v>
      </c>
    </row>
    <row r="18" spans="1:14" x14ac:dyDescent="0.35">
      <c r="A18" t="s">
        <v>485</v>
      </c>
    </row>
    <row r="19" spans="1:14" x14ac:dyDescent="0.35">
      <c r="A19">
        <v>435</v>
      </c>
      <c r="F19" s="12"/>
    </row>
    <row r="20" spans="1:14" x14ac:dyDescent="0.35">
      <c r="F20" s="6" t="s">
        <v>479</v>
      </c>
      <c r="G20" s="6" t="s">
        <v>3</v>
      </c>
    </row>
    <row r="21" spans="1:14" x14ac:dyDescent="0.35">
      <c r="F21" s="6" t="s">
        <v>490</v>
      </c>
      <c r="G21" t="s">
        <v>113</v>
      </c>
      <c r="H21" t="s">
        <v>17</v>
      </c>
      <c r="I21" t="s">
        <v>47</v>
      </c>
      <c r="J21" t="s">
        <v>480</v>
      </c>
    </row>
    <row r="22" spans="1:14" x14ac:dyDescent="0.35">
      <c r="F22" s="8">
        <v>2018</v>
      </c>
      <c r="G22" s="7">
        <v>286130</v>
      </c>
      <c r="H22" s="7">
        <v>1480053</v>
      </c>
      <c r="I22" s="7">
        <v>1223226</v>
      </c>
      <c r="J22" s="7">
        <v>2989409</v>
      </c>
    </row>
    <row r="23" spans="1:14" x14ac:dyDescent="0.35">
      <c r="F23" s="8">
        <v>2019</v>
      </c>
      <c r="G23" s="7">
        <v>1018529</v>
      </c>
      <c r="H23" s="7">
        <v>2325504</v>
      </c>
      <c r="I23" s="7">
        <v>64952</v>
      </c>
      <c r="J23" s="7">
        <v>3408985</v>
      </c>
    </row>
    <row r="24" spans="1:14" x14ac:dyDescent="0.35">
      <c r="A24" t="s">
        <v>491</v>
      </c>
      <c r="F24" s="8">
        <v>2020</v>
      </c>
      <c r="G24" s="7">
        <v>310795</v>
      </c>
      <c r="H24" s="7">
        <v>1764470</v>
      </c>
      <c r="I24" s="7">
        <v>464034</v>
      </c>
      <c r="J24" s="7">
        <v>2539299</v>
      </c>
    </row>
    <row r="25" spans="1:14" x14ac:dyDescent="0.35">
      <c r="A25" s="9">
        <v>0.26614021789700498</v>
      </c>
      <c r="C25" s="6" t="s">
        <v>489</v>
      </c>
      <c r="D25" t="s">
        <v>479</v>
      </c>
      <c r="F25" s="8">
        <v>2021</v>
      </c>
      <c r="G25" s="7">
        <v>282627</v>
      </c>
      <c r="H25" s="7">
        <v>2345629</v>
      </c>
      <c r="I25" s="7">
        <v>882743</v>
      </c>
      <c r="J25" s="7">
        <v>3510999</v>
      </c>
    </row>
    <row r="26" spans="1:14" x14ac:dyDescent="0.35">
      <c r="C26" s="8" t="s">
        <v>26</v>
      </c>
      <c r="D26" s="7">
        <v>3071389</v>
      </c>
      <c r="F26" s="8">
        <v>2022</v>
      </c>
      <c r="G26" s="7">
        <v>195392</v>
      </c>
      <c r="H26" s="7">
        <v>3048077</v>
      </c>
      <c r="I26" s="7">
        <v>391884</v>
      </c>
      <c r="J26" s="7">
        <v>3635353</v>
      </c>
    </row>
    <row r="27" spans="1:14" x14ac:dyDescent="0.35">
      <c r="C27" s="8" t="s">
        <v>81</v>
      </c>
      <c r="D27" s="7">
        <v>2305345</v>
      </c>
      <c r="F27" s="8">
        <v>2023</v>
      </c>
      <c r="G27" s="7">
        <v>496792</v>
      </c>
      <c r="H27" s="7">
        <v>2788679</v>
      </c>
      <c r="I27" s="7">
        <v>66890</v>
      </c>
      <c r="J27" s="7">
        <v>3352361</v>
      </c>
    </row>
    <row r="28" spans="1:14" x14ac:dyDescent="0.35">
      <c r="C28" s="8" t="s">
        <v>48</v>
      </c>
      <c r="D28" s="7">
        <v>2964654</v>
      </c>
      <c r="F28" s="8">
        <v>2024</v>
      </c>
      <c r="G28" s="7">
        <v>224218</v>
      </c>
      <c r="H28" s="7">
        <v>1208984</v>
      </c>
      <c r="I28" s="7">
        <v>632500</v>
      </c>
      <c r="J28" s="7">
        <v>2065702</v>
      </c>
    </row>
    <row r="29" spans="1:14" x14ac:dyDescent="0.35">
      <c r="C29" s="8" t="s">
        <v>53</v>
      </c>
      <c r="D29" s="7">
        <v>2851005</v>
      </c>
      <c r="F29" s="8" t="s">
        <v>480</v>
      </c>
      <c r="G29" s="7">
        <v>2814483</v>
      </c>
      <c r="H29" s="7">
        <v>14961396</v>
      </c>
      <c r="I29" s="7">
        <v>3726229</v>
      </c>
      <c r="J29" s="7">
        <v>21502108</v>
      </c>
    </row>
    <row r="30" spans="1:14" x14ac:dyDescent="0.35">
      <c r="C30" s="8" t="s">
        <v>18</v>
      </c>
      <c r="D30" s="7">
        <v>2274553</v>
      </c>
    </row>
    <row r="31" spans="1:14" x14ac:dyDescent="0.35">
      <c r="C31" s="8" t="s">
        <v>480</v>
      </c>
      <c r="D31" s="7">
        <v>13466946</v>
      </c>
      <c r="F31" s="6" t="s">
        <v>479</v>
      </c>
      <c r="G31" s="6" t="s">
        <v>490</v>
      </c>
    </row>
    <row r="32" spans="1:14" x14ac:dyDescent="0.35">
      <c r="F32" s="6" t="s">
        <v>7</v>
      </c>
      <c r="G32">
        <v>2018</v>
      </c>
      <c r="H32">
        <v>2019</v>
      </c>
      <c r="I32">
        <v>2020</v>
      </c>
      <c r="J32">
        <v>2021</v>
      </c>
      <c r="K32">
        <v>2022</v>
      </c>
      <c r="L32">
        <v>2023</v>
      </c>
      <c r="M32">
        <v>2024</v>
      </c>
      <c r="N32" t="s">
        <v>480</v>
      </c>
    </row>
    <row r="33" spans="1:14" x14ac:dyDescent="0.35">
      <c r="F33" s="8" t="s">
        <v>36</v>
      </c>
      <c r="G33" s="7">
        <v>383811</v>
      </c>
      <c r="H33" s="7">
        <v>1435482</v>
      </c>
      <c r="I33" s="7">
        <v>337033</v>
      </c>
      <c r="J33" s="7">
        <v>1246209</v>
      </c>
      <c r="K33" s="7">
        <v>565387</v>
      </c>
      <c r="L33" s="7">
        <v>730858</v>
      </c>
      <c r="M33" s="7">
        <v>295640</v>
      </c>
      <c r="N33" s="7">
        <v>4994420</v>
      </c>
    </row>
    <row r="34" spans="1:14" x14ac:dyDescent="0.35">
      <c r="A34" s="6" t="s">
        <v>8</v>
      </c>
      <c r="B34" t="s">
        <v>479</v>
      </c>
      <c r="F34" s="8" t="s">
        <v>62</v>
      </c>
      <c r="G34" s="7">
        <v>591861</v>
      </c>
      <c r="H34" s="7">
        <v>349141</v>
      </c>
      <c r="I34" s="7">
        <v>317820</v>
      </c>
      <c r="J34" s="7">
        <v>304060</v>
      </c>
      <c r="K34" s="7">
        <v>623291</v>
      </c>
      <c r="L34" s="7">
        <v>432112</v>
      </c>
      <c r="M34" s="7">
        <v>690935</v>
      </c>
      <c r="N34" s="7">
        <v>3309220</v>
      </c>
    </row>
    <row r="35" spans="1:14" x14ac:dyDescent="0.35">
      <c r="A35" s="8" t="s">
        <v>89</v>
      </c>
      <c r="B35" s="7">
        <v>2289517</v>
      </c>
      <c r="F35" s="8" t="s">
        <v>82</v>
      </c>
      <c r="G35" s="7">
        <v>227904</v>
      </c>
      <c r="H35" s="7">
        <v>382798</v>
      </c>
      <c r="I35" s="7">
        <v>541950</v>
      </c>
      <c r="J35" s="7">
        <v>674547</v>
      </c>
      <c r="K35" s="7">
        <v>936615</v>
      </c>
      <c r="L35" s="7">
        <v>653677</v>
      </c>
      <c r="M35" s="7">
        <v>307895</v>
      </c>
      <c r="N35" s="7">
        <v>3725386</v>
      </c>
    </row>
    <row r="36" spans="1:14" x14ac:dyDescent="0.35">
      <c r="A36" s="8" t="s">
        <v>68</v>
      </c>
      <c r="B36" s="7">
        <v>1594228</v>
      </c>
      <c r="F36" s="8" t="s">
        <v>28</v>
      </c>
      <c r="G36" s="7">
        <v>756230</v>
      </c>
      <c r="H36" s="7">
        <v>510510</v>
      </c>
      <c r="I36" s="7">
        <v>728562</v>
      </c>
      <c r="J36" s="7">
        <v>588382</v>
      </c>
      <c r="K36" s="7">
        <v>962940</v>
      </c>
      <c r="L36" s="7">
        <v>55706</v>
      </c>
      <c r="M36" s="7">
        <v>184216</v>
      </c>
      <c r="N36" s="7">
        <v>3786546</v>
      </c>
    </row>
    <row r="37" spans="1:14" x14ac:dyDescent="0.35">
      <c r="A37" s="8" t="s">
        <v>94</v>
      </c>
      <c r="B37" s="7">
        <v>1642425</v>
      </c>
      <c r="F37" s="8" t="s">
        <v>67</v>
      </c>
      <c r="G37" s="7">
        <v>82488</v>
      </c>
      <c r="H37" s="7">
        <v>562268</v>
      </c>
      <c r="I37" s="7">
        <v>353062</v>
      </c>
      <c r="J37" s="7">
        <v>239444</v>
      </c>
      <c r="K37" s="7">
        <v>425980</v>
      </c>
      <c r="L37" s="7">
        <v>1210568</v>
      </c>
      <c r="M37" s="7">
        <v>327047</v>
      </c>
      <c r="N37" s="7">
        <v>3200857</v>
      </c>
    </row>
    <row r="38" spans="1:14" x14ac:dyDescent="0.35">
      <c r="A38" s="8" t="s">
        <v>480</v>
      </c>
      <c r="B38" s="7">
        <v>5526170</v>
      </c>
      <c r="F38" s="8" t="s">
        <v>20</v>
      </c>
      <c r="G38" s="7">
        <v>947115</v>
      </c>
      <c r="H38" s="7">
        <v>168786</v>
      </c>
      <c r="I38" s="7">
        <v>260872</v>
      </c>
      <c r="J38" s="7">
        <v>458357</v>
      </c>
      <c r="K38" s="7">
        <v>121140</v>
      </c>
      <c r="L38" s="7">
        <v>269440</v>
      </c>
      <c r="M38" s="7">
        <v>259969</v>
      </c>
      <c r="N38" s="7">
        <v>2485679</v>
      </c>
    </row>
    <row r="39" spans="1:14" x14ac:dyDescent="0.35">
      <c r="F39" s="8" t="s">
        <v>480</v>
      </c>
      <c r="G39" s="7">
        <v>2989409</v>
      </c>
      <c r="H39" s="7">
        <v>3408985</v>
      </c>
      <c r="I39" s="7">
        <v>2539299</v>
      </c>
      <c r="J39" s="7">
        <v>3510999</v>
      </c>
      <c r="K39" s="7">
        <v>3635353</v>
      </c>
      <c r="L39" s="7">
        <v>3352361</v>
      </c>
      <c r="M39" s="7">
        <v>2065702</v>
      </c>
      <c r="N39" s="7">
        <v>21502108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7587-F7E8-4F1C-8924-637412E0E086}">
  <dimension ref="A1:T141"/>
  <sheetViews>
    <sheetView topLeftCell="L1" workbookViewId="0">
      <selection activeCell="T2" sqref="T2"/>
    </sheetView>
  </sheetViews>
  <sheetFormatPr defaultRowHeight="14.5" x14ac:dyDescent="0.35"/>
  <cols>
    <col min="1" max="1" width="15.1796875" bestFit="1" customWidth="1"/>
    <col min="2" max="2" width="11" style="1" bestFit="1" customWidth="1"/>
    <col min="3" max="3" width="17.7265625" bestFit="1" customWidth="1"/>
    <col min="4" max="4" width="10.81640625" bestFit="1" customWidth="1"/>
    <col min="5" max="5" width="11.453125" bestFit="1" customWidth="1"/>
    <col min="6" max="6" width="10.08984375" bestFit="1" customWidth="1"/>
    <col min="7" max="7" width="10.26953125" bestFit="1" customWidth="1"/>
    <col min="8" max="8" width="10.54296875" bestFit="1" customWidth="1"/>
    <col min="9" max="9" width="12.36328125" bestFit="1" customWidth="1"/>
    <col min="10" max="10" width="11.6328125" bestFit="1" customWidth="1"/>
    <col min="11" max="11" width="15.54296875" style="2" bestFit="1" customWidth="1"/>
    <col min="12" max="12" width="20.08984375" style="2" bestFit="1" customWidth="1"/>
    <col min="13" max="13" width="15.36328125" style="2" bestFit="1" customWidth="1"/>
    <col min="14" max="14" width="17.90625" style="2" bestFit="1" customWidth="1"/>
    <col min="15" max="15" width="13.90625" style="2" bestFit="1" customWidth="1"/>
    <col min="16" max="16" width="16.08984375" style="2" bestFit="1" customWidth="1"/>
    <col min="17" max="17" width="16.54296875" style="3" bestFit="1" customWidth="1"/>
    <col min="18" max="18" width="10.453125" bestFit="1" customWidth="1"/>
    <col min="19" max="19" width="23.6328125" style="4" bestFit="1" customWidth="1"/>
    <col min="20" max="20" width="80.7265625" bestFit="1" customWidth="1"/>
  </cols>
  <sheetData>
    <row r="1" spans="1:20" x14ac:dyDescent="0.35">
      <c r="A1" t="s">
        <v>0</v>
      </c>
      <c r="B1" s="1" t="s">
        <v>1</v>
      </c>
      <c r="C1" t="s">
        <v>2</v>
      </c>
      <c r="D1" t="s">
        <v>3</v>
      </c>
      <c r="E1" t="s">
        <v>4</v>
      </c>
      <c r="F1" t="s">
        <v>5</v>
      </c>
      <c r="G1" t="s">
        <v>6</v>
      </c>
      <c r="H1" t="s">
        <v>7</v>
      </c>
      <c r="I1" t="s">
        <v>8</v>
      </c>
      <c r="J1" t="s">
        <v>9</v>
      </c>
      <c r="K1" s="2" t="s">
        <v>10</v>
      </c>
      <c r="L1" s="2" t="s">
        <v>478</v>
      </c>
      <c r="M1" s="2" t="s">
        <v>11</v>
      </c>
      <c r="N1" s="2" t="s">
        <v>12</v>
      </c>
      <c r="O1" s="2" t="s">
        <v>476</v>
      </c>
      <c r="P1" s="2" t="s">
        <v>477</v>
      </c>
      <c r="Q1" s="3" t="s">
        <v>475</v>
      </c>
      <c r="R1" s="3" t="s">
        <v>486</v>
      </c>
      <c r="S1" s="4" t="s">
        <v>487</v>
      </c>
      <c r="T1" t="s">
        <v>13</v>
      </c>
    </row>
    <row r="2" spans="1:20" x14ac:dyDescent="0.35">
      <c r="A2" t="s">
        <v>14</v>
      </c>
      <c r="B2" s="1" t="s">
        <v>15</v>
      </c>
      <c r="C2" t="s">
        <v>16</v>
      </c>
      <c r="D2" t="s">
        <v>17</v>
      </c>
      <c r="E2" t="s">
        <v>18</v>
      </c>
      <c r="F2">
        <v>2023</v>
      </c>
      <c r="G2" t="s">
        <v>19</v>
      </c>
      <c r="H2" t="s">
        <v>20</v>
      </c>
      <c r="I2" t="s">
        <v>21</v>
      </c>
      <c r="J2">
        <v>2</v>
      </c>
      <c r="K2" s="2">
        <v>30000</v>
      </c>
      <c r="L2" s="2">
        <f>Africa_Car_Sales[[#This Row],[Cost Price ($)]]*Africa_Car_Sales[[#This Row],[Units Sold]]</f>
        <v>60000</v>
      </c>
      <c r="M2" s="2">
        <v>38367</v>
      </c>
      <c r="N2" s="2">
        <v>40000</v>
      </c>
      <c r="O2" s="2">
        <f>Africa_Car_Sales[[#This Row],[Sale Price ($)]]*Africa_Car_Sales[[#This Row],[Units Sold]]</f>
        <v>76734</v>
      </c>
      <c r="P2" s="2">
        <f>Africa_Car_Sales[[#This Row],[Revenue($)]]-Africa_Car_Sales[[#This Row],[Total Cost Price ($)]]</f>
        <v>16734</v>
      </c>
      <c r="Q2" s="3">
        <f>Africa_Car_Sales[[#This Row],[Total Profit ($)]]/Africa_Car_Sales[[#This Row],[Revenue($)]]</f>
        <v>0.21807803581202595</v>
      </c>
      <c r="R2" s="10">
        <f>Africa_Car_Sales[[#This Row],[Sale Price ($)]]-Africa_Car_Sales[[#This Row],[Market Value ($)]]</f>
        <v>-1633</v>
      </c>
      <c r="S2" s="5">
        <f>(Africa_Car_Sales[[#This Row],[Sale Price ($)]]-Africa_Car_Sales[[#This Row],[Market Value ($)]])/Africa_Car_Sales[[#This Row],[Market Value ($)]]</f>
        <v>-4.0825E-2</v>
      </c>
      <c r="T2" s="13" t="s">
        <v>22</v>
      </c>
    </row>
    <row r="3" spans="1:20" x14ac:dyDescent="0.35">
      <c r="A3" t="s">
        <v>23</v>
      </c>
      <c r="B3" s="1" t="s">
        <v>24</v>
      </c>
      <c r="C3" t="s">
        <v>25</v>
      </c>
      <c r="D3" t="s">
        <v>17</v>
      </c>
      <c r="E3" t="s">
        <v>26</v>
      </c>
      <c r="F3">
        <v>2022</v>
      </c>
      <c r="G3" t="s">
        <v>27</v>
      </c>
      <c r="H3" t="s">
        <v>28</v>
      </c>
      <c r="I3" t="s">
        <v>29</v>
      </c>
      <c r="J3">
        <v>1</v>
      </c>
      <c r="K3" s="2">
        <v>40000</v>
      </c>
      <c r="L3" s="2">
        <f>Africa_Car_Sales[[#This Row],[Cost Price ($)]]*Africa_Car_Sales[[#This Row],[Units Sold]]</f>
        <v>40000</v>
      </c>
      <c r="M3" s="2">
        <v>52045</v>
      </c>
      <c r="N3" s="2">
        <v>52000</v>
      </c>
      <c r="O3" s="2">
        <f>Africa_Car_Sales[[#This Row],[Sale Price ($)]]*Africa_Car_Sales[[#This Row],[Units Sold]]</f>
        <v>52045</v>
      </c>
      <c r="P3" s="2">
        <f>Africa_Car_Sales[[#This Row],[Revenue($)]]-Africa_Car_Sales[[#This Row],[Total Cost Price ($)]]</f>
        <v>12045</v>
      </c>
      <c r="Q3" s="3">
        <f>Africa_Car_Sales[[#This Row],[Total Profit ($)]]/Africa_Car_Sales[[#This Row],[Revenue($)]]</f>
        <v>0.2314343356710539</v>
      </c>
      <c r="R3" s="10">
        <f>Africa_Car_Sales[[#This Row],[Sale Price ($)]]-Africa_Car_Sales[[#This Row],[Market Value ($)]]</f>
        <v>45</v>
      </c>
      <c r="S3" s="5">
        <f>(Africa_Car_Sales[[#This Row],[Sale Price ($)]]-Africa_Car_Sales[[#This Row],[Market Value ($)]])/Africa_Car_Sales[[#This Row],[Market Value ($)]]</f>
        <v>8.6538461538461541E-4</v>
      </c>
      <c r="T3" s="13" t="s">
        <v>30</v>
      </c>
    </row>
    <row r="4" spans="1:20" x14ac:dyDescent="0.35">
      <c r="A4" t="s">
        <v>31</v>
      </c>
      <c r="B4" s="1" t="s">
        <v>32</v>
      </c>
      <c r="C4" t="s">
        <v>33</v>
      </c>
      <c r="D4" t="s">
        <v>17</v>
      </c>
      <c r="E4" t="s">
        <v>34</v>
      </c>
      <c r="F4">
        <v>2023</v>
      </c>
      <c r="G4" t="s">
        <v>35</v>
      </c>
      <c r="H4" t="s">
        <v>36</v>
      </c>
      <c r="I4" t="s">
        <v>37</v>
      </c>
      <c r="J4">
        <v>2</v>
      </c>
      <c r="K4" s="2">
        <v>22000</v>
      </c>
      <c r="L4" s="2">
        <f>Africa_Car_Sales[[#This Row],[Cost Price ($)]]*Africa_Car_Sales[[#This Row],[Units Sold]]</f>
        <v>44000</v>
      </c>
      <c r="M4" s="2">
        <v>29159</v>
      </c>
      <c r="N4" s="2">
        <v>28000</v>
      </c>
      <c r="O4" s="2">
        <f>Africa_Car_Sales[[#This Row],[Sale Price ($)]]*Africa_Car_Sales[[#This Row],[Units Sold]]</f>
        <v>58318</v>
      </c>
      <c r="P4" s="2">
        <f>Africa_Car_Sales[[#This Row],[Revenue($)]]-Africa_Car_Sales[[#This Row],[Total Cost Price ($)]]</f>
        <v>14318</v>
      </c>
      <c r="Q4" s="3">
        <f>Africa_Car_Sales[[#This Row],[Total Profit ($)]]/Africa_Car_Sales[[#This Row],[Revenue($)]]</f>
        <v>0.24551596419630303</v>
      </c>
      <c r="R4" s="10">
        <f>Africa_Car_Sales[[#This Row],[Sale Price ($)]]-Africa_Car_Sales[[#This Row],[Market Value ($)]]</f>
        <v>1159</v>
      </c>
      <c r="S4" s="5">
        <f>(Africa_Car_Sales[[#This Row],[Sale Price ($)]]-Africa_Car_Sales[[#This Row],[Market Value ($)]])/Africa_Car_Sales[[#This Row],[Market Value ($)]]</f>
        <v>4.1392857142857141E-2</v>
      </c>
      <c r="T4" t="s">
        <v>38</v>
      </c>
    </row>
    <row r="5" spans="1:20" x14ac:dyDescent="0.35">
      <c r="A5" t="s">
        <v>39</v>
      </c>
      <c r="B5" s="1" t="s">
        <v>40</v>
      </c>
      <c r="C5" t="s">
        <v>41</v>
      </c>
      <c r="D5" t="s">
        <v>17</v>
      </c>
      <c r="E5" t="s">
        <v>42</v>
      </c>
      <c r="F5">
        <v>2022</v>
      </c>
      <c r="G5" t="s">
        <v>35</v>
      </c>
      <c r="H5" t="s">
        <v>28</v>
      </c>
      <c r="I5" t="s">
        <v>29</v>
      </c>
      <c r="J5">
        <v>3</v>
      </c>
      <c r="K5" s="2">
        <v>35000</v>
      </c>
      <c r="L5" s="2">
        <f>Africa_Car_Sales[[#This Row],[Cost Price ($)]]*Africa_Car_Sales[[#This Row],[Units Sold]]</f>
        <v>105000</v>
      </c>
      <c r="M5" s="2">
        <v>43985</v>
      </c>
      <c r="N5" s="2">
        <v>45000</v>
      </c>
      <c r="O5" s="2">
        <f>Africa_Car_Sales[[#This Row],[Sale Price ($)]]*Africa_Car_Sales[[#This Row],[Units Sold]]</f>
        <v>131955</v>
      </c>
      <c r="P5" s="2">
        <f>Africa_Car_Sales[[#This Row],[Revenue($)]]-Africa_Car_Sales[[#This Row],[Total Cost Price ($)]]</f>
        <v>26955</v>
      </c>
      <c r="Q5" s="3">
        <f>Africa_Car_Sales[[#This Row],[Total Profit ($)]]/Africa_Car_Sales[[#This Row],[Revenue($)]]</f>
        <v>0.204274184381039</v>
      </c>
      <c r="R5" s="10">
        <f>Africa_Car_Sales[[#This Row],[Sale Price ($)]]-Africa_Car_Sales[[#This Row],[Market Value ($)]]</f>
        <v>-1015</v>
      </c>
      <c r="S5" s="5">
        <f>(Africa_Car_Sales[[#This Row],[Sale Price ($)]]-Africa_Car_Sales[[#This Row],[Market Value ($)]])/Africa_Car_Sales[[#This Row],[Market Value ($)]]</f>
        <v>-2.2555555555555554E-2</v>
      </c>
      <c r="T5" t="s">
        <v>43</v>
      </c>
    </row>
    <row r="6" spans="1:20" x14ac:dyDescent="0.35">
      <c r="A6" t="s">
        <v>44</v>
      </c>
      <c r="B6" s="1" t="s">
        <v>45</v>
      </c>
      <c r="C6" t="s">
        <v>46</v>
      </c>
      <c r="D6" t="s">
        <v>47</v>
      </c>
      <c r="E6" t="s">
        <v>48</v>
      </c>
      <c r="F6">
        <v>2022</v>
      </c>
      <c r="G6" t="s">
        <v>27</v>
      </c>
      <c r="H6" t="s">
        <v>36</v>
      </c>
      <c r="I6" t="s">
        <v>37</v>
      </c>
      <c r="J6">
        <v>3</v>
      </c>
      <c r="K6" s="2">
        <v>45000</v>
      </c>
      <c r="L6" s="2">
        <f>Africa_Car_Sales[[#This Row],[Cost Price ($)]]*Africa_Car_Sales[[#This Row],[Units Sold]]</f>
        <v>135000</v>
      </c>
      <c r="M6" s="2">
        <v>65824</v>
      </c>
      <c r="N6" s="2">
        <v>62000</v>
      </c>
      <c r="O6" s="2">
        <f>Africa_Car_Sales[[#This Row],[Sale Price ($)]]*Africa_Car_Sales[[#This Row],[Units Sold]]</f>
        <v>197472</v>
      </c>
      <c r="P6" s="2">
        <f>Africa_Car_Sales[[#This Row],[Revenue($)]]-Africa_Car_Sales[[#This Row],[Total Cost Price ($)]]</f>
        <v>62472</v>
      </c>
      <c r="Q6" s="3">
        <f>Africa_Car_Sales[[#This Row],[Total Profit ($)]]/Africa_Car_Sales[[#This Row],[Revenue($)]]</f>
        <v>0.31635877491492465</v>
      </c>
      <c r="R6" s="10">
        <f>Africa_Car_Sales[[#This Row],[Sale Price ($)]]-Africa_Car_Sales[[#This Row],[Market Value ($)]]</f>
        <v>3824</v>
      </c>
      <c r="S6" s="5">
        <f>(Africa_Car_Sales[[#This Row],[Sale Price ($)]]-Africa_Car_Sales[[#This Row],[Market Value ($)]])/Africa_Car_Sales[[#This Row],[Market Value ($)]]</f>
        <v>6.1677419354838711E-2</v>
      </c>
      <c r="T6" s="13" t="s">
        <v>49</v>
      </c>
    </row>
    <row r="7" spans="1:20" x14ac:dyDescent="0.35">
      <c r="A7" t="s">
        <v>50</v>
      </c>
      <c r="B7" s="1" t="s">
        <v>51</v>
      </c>
      <c r="C7" t="s">
        <v>52</v>
      </c>
      <c r="D7" t="s">
        <v>17</v>
      </c>
      <c r="E7" t="s">
        <v>53</v>
      </c>
      <c r="F7">
        <v>2019</v>
      </c>
      <c r="G7" t="s">
        <v>35</v>
      </c>
      <c r="H7" t="s">
        <v>28</v>
      </c>
      <c r="I7" t="s">
        <v>54</v>
      </c>
      <c r="J7">
        <v>3</v>
      </c>
      <c r="K7" s="2">
        <v>70000</v>
      </c>
      <c r="L7" s="2">
        <f>Africa_Car_Sales[[#This Row],[Cost Price ($)]]*Africa_Car_Sales[[#This Row],[Units Sold]]</f>
        <v>210000</v>
      </c>
      <c r="M7" s="2">
        <v>91625</v>
      </c>
      <c r="N7" s="2">
        <v>95000</v>
      </c>
      <c r="O7" s="2">
        <f>Africa_Car_Sales[[#This Row],[Sale Price ($)]]*Africa_Car_Sales[[#This Row],[Units Sold]]</f>
        <v>274875</v>
      </c>
      <c r="P7" s="2">
        <f>Africa_Car_Sales[[#This Row],[Revenue($)]]-Africa_Car_Sales[[#This Row],[Total Cost Price ($)]]</f>
        <v>64875</v>
      </c>
      <c r="Q7" s="3">
        <f>Africa_Car_Sales[[#This Row],[Total Profit ($)]]/Africa_Car_Sales[[#This Row],[Revenue($)]]</f>
        <v>0.23601637107776263</v>
      </c>
      <c r="R7" s="10">
        <f>Africa_Car_Sales[[#This Row],[Sale Price ($)]]-Africa_Car_Sales[[#This Row],[Market Value ($)]]</f>
        <v>-3375</v>
      </c>
      <c r="S7" s="5">
        <f>(Africa_Car_Sales[[#This Row],[Sale Price ($)]]-Africa_Car_Sales[[#This Row],[Market Value ($)]])/Africa_Car_Sales[[#This Row],[Market Value ($)]]</f>
        <v>-3.5526315789473684E-2</v>
      </c>
      <c r="T7" s="13" t="s">
        <v>55</v>
      </c>
    </row>
    <row r="8" spans="1:20" x14ac:dyDescent="0.35">
      <c r="A8" t="s">
        <v>56</v>
      </c>
      <c r="B8" s="1" t="s">
        <v>57</v>
      </c>
      <c r="C8" t="s">
        <v>58</v>
      </c>
      <c r="D8" t="s">
        <v>17</v>
      </c>
      <c r="E8" t="s">
        <v>26</v>
      </c>
      <c r="F8">
        <v>2020</v>
      </c>
      <c r="G8" t="s">
        <v>27</v>
      </c>
      <c r="H8" t="s">
        <v>20</v>
      </c>
      <c r="I8" t="s">
        <v>21</v>
      </c>
      <c r="J8">
        <v>4</v>
      </c>
      <c r="K8" s="2">
        <v>40000</v>
      </c>
      <c r="L8" s="2">
        <f>Africa_Car_Sales[[#This Row],[Cost Price ($)]]*Africa_Car_Sales[[#This Row],[Units Sold]]</f>
        <v>160000</v>
      </c>
      <c r="M8" s="2">
        <v>49200</v>
      </c>
      <c r="N8" s="2">
        <v>52000</v>
      </c>
      <c r="O8" s="2">
        <f>Africa_Car_Sales[[#This Row],[Sale Price ($)]]*Africa_Car_Sales[[#This Row],[Units Sold]]</f>
        <v>196800</v>
      </c>
      <c r="P8" s="2">
        <f>Africa_Car_Sales[[#This Row],[Revenue($)]]-Africa_Car_Sales[[#This Row],[Total Cost Price ($)]]</f>
        <v>36800</v>
      </c>
      <c r="Q8" s="3">
        <f>Africa_Car_Sales[[#This Row],[Total Profit ($)]]/Africa_Car_Sales[[#This Row],[Revenue($)]]</f>
        <v>0.18699186991869918</v>
      </c>
      <c r="R8" s="10">
        <f>Africa_Car_Sales[[#This Row],[Sale Price ($)]]-Africa_Car_Sales[[#This Row],[Market Value ($)]]</f>
        <v>-2800</v>
      </c>
      <c r="S8" s="5">
        <f>(Africa_Car_Sales[[#This Row],[Sale Price ($)]]-Africa_Car_Sales[[#This Row],[Market Value ($)]])/Africa_Car_Sales[[#This Row],[Market Value ($)]]</f>
        <v>-5.3846153846153849E-2</v>
      </c>
      <c r="T8" t="s">
        <v>30</v>
      </c>
    </row>
    <row r="9" spans="1:20" x14ac:dyDescent="0.35">
      <c r="A9" t="s">
        <v>59</v>
      </c>
      <c r="B9" s="1" t="s">
        <v>60</v>
      </c>
      <c r="C9" t="s">
        <v>61</v>
      </c>
      <c r="D9" t="s">
        <v>17</v>
      </c>
      <c r="E9" t="s">
        <v>53</v>
      </c>
      <c r="F9">
        <v>2022</v>
      </c>
      <c r="G9" t="s">
        <v>35</v>
      </c>
      <c r="H9" t="s">
        <v>62</v>
      </c>
      <c r="I9" t="s">
        <v>63</v>
      </c>
      <c r="J9">
        <v>2</v>
      </c>
      <c r="K9" s="2">
        <v>70000</v>
      </c>
      <c r="L9" s="2">
        <f>Africa_Car_Sales[[#This Row],[Cost Price ($)]]*Africa_Car_Sales[[#This Row],[Units Sold]]</f>
        <v>140000</v>
      </c>
      <c r="M9" s="2">
        <v>91470</v>
      </c>
      <c r="N9" s="2">
        <v>95000</v>
      </c>
      <c r="O9" s="2">
        <f>Africa_Car_Sales[[#This Row],[Sale Price ($)]]*Africa_Car_Sales[[#This Row],[Units Sold]]</f>
        <v>182940</v>
      </c>
      <c r="P9" s="2">
        <f>Africa_Car_Sales[[#This Row],[Revenue($)]]-Africa_Car_Sales[[#This Row],[Total Cost Price ($)]]</f>
        <v>42940</v>
      </c>
      <c r="Q9" s="3">
        <f>Africa_Car_Sales[[#This Row],[Total Profit ($)]]/Africa_Car_Sales[[#This Row],[Revenue($)]]</f>
        <v>0.23472176669946432</v>
      </c>
      <c r="R9" s="10">
        <f>Africa_Car_Sales[[#This Row],[Sale Price ($)]]-Africa_Car_Sales[[#This Row],[Market Value ($)]]</f>
        <v>-3530</v>
      </c>
      <c r="S9" s="5">
        <f>(Africa_Car_Sales[[#This Row],[Sale Price ($)]]-Africa_Car_Sales[[#This Row],[Market Value ($)]])/Africa_Car_Sales[[#This Row],[Market Value ($)]]</f>
        <v>-3.7157894736842105E-2</v>
      </c>
      <c r="T9" t="s">
        <v>55</v>
      </c>
    </row>
    <row r="10" spans="1:20" x14ac:dyDescent="0.35">
      <c r="A10" t="s">
        <v>64</v>
      </c>
      <c r="B10" s="1" t="s">
        <v>65</v>
      </c>
      <c r="C10" t="s">
        <v>66</v>
      </c>
      <c r="D10" t="s">
        <v>17</v>
      </c>
      <c r="E10" t="s">
        <v>26</v>
      </c>
      <c r="F10">
        <v>2020</v>
      </c>
      <c r="G10" t="s">
        <v>27</v>
      </c>
      <c r="H10" t="s">
        <v>67</v>
      </c>
      <c r="I10" t="s">
        <v>68</v>
      </c>
      <c r="J10">
        <v>5</v>
      </c>
      <c r="K10" s="2">
        <v>40000</v>
      </c>
      <c r="L10" s="2">
        <f>Africa_Car_Sales[[#This Row],[Cost Price ($)]]*Africa_Car_Sales[[#This Row],[Units Sold]]</f>
        <v>200000</v>
      </c>
      <c r="M10" s="2">
        <v>54038</v>
      </c>
      <c r="N10" s="2">
        <v>52000</v>
      </c>
      <c r="O10" s="2">
        <f>Africa_Car_Sales[[#This Row],[Sale Price ($)]]*Africa_Car_Sales[[#This Row],[Units Sold]]</f>
        <v>270190</v>
      </c>
      <c r="P10" s="2">
        <f>Africa_Car_Sales[[#This Row],[Revenue($)]]-Africa_Car_Sales[[#This Row],[Total Cost Price ($)]]</f>
        <v>70190</v>
      </c>
      <c r="Q10" s="3">
        <f>Africa_Car_Sales[[#This Row],[Total Profit ($)]]/Africa_Car_Sales[[#This Row],[Revenue($)]]</f>
        <v>0.25978015470594767</v>
      </c>
      <c r="R10" s="10">
        <f>Africa_Car_Sales[[#This Row],[Sale Price ($)]]-Africa_Car_Sales[[#This Row],[Market Value ($)]]</f>
        <v>2038</v>
      </c>
      <c r="S10" s="5">
        <f>(Africa_Car_Sales[[#This Row],[Sale Price ($)]]-Africa_Car_Sales[[#This Row],[Market Value ($)]])/Africa_Car_Sales[[#This Row],[Market Value ($)]]</f>
        <v>3.9192307692307693E-2</v>
      </c>
      <c r="T10" t="s">
        <v>30</v>
      </c>
    </row>
    <row r="11" spans="1:20" x14ac:dyDescent="0.35">
      <c r="A11" t="s">
        <v>69</v>
      </c>
      <c r="B11" s="1" t="s">
        <v>70</v>
      </c>
      <c r="C11" t="s">
        <v>71</v>
      </c>
      <c r="D11" t="s">
        <v>17</v>
      </c>
      <c r="E11" t="s">
        <v>42</v>
      </c>
      <c r="F11">
        <v>2019</v>
      </c>
      <c r="G11" t="s">
        <v>35</v>
      </c>
      <c r="H11" t="s">
        <v>62</v>
      </c>
      <c r="I11" t="s">
        <v>72</v>
      </c>
      <c r="J11">
        <v>1</v>
      </c>
      <c r="K11" s="2">
        <v>35000</v>
      </c>
      <c r="L11" s="2">
        <f>Africa_Car_Sales[[#This Row],[Cost Price ($)]]*Africa_Car_Sales[[#This Row],[Units Sold]]</f>
        <v>35000</v>
      </c>
      <c r="M11" s="2">
        <v>46842</v>
      </c>
      <c r="N11" s="2">
        <v>45000</v>
      </c>
      <c r="O11" s="2">
        <f>Africa_Car_Sales[[#This Row],[Sale Price ($)]]*Africa_Car_Sales[[#This Row],[Units Sold]]</f>
        <v>46842</v>
      </c>
      <c r="P11" s="2">
        <f>Africa_Car_Sales[[#This Row],[Revenue($)]]-Africa_Car_Sales[[#This Row],[Total Cost Price ($)]]</f>
        <v>11842</v>
      </c>
      <c r="Q11" s="3">
        <f>Africa_Car_Sales[[#This Row],[Total Profit ($)]]/Africa_Car_Sales[[#This Row],[Revenue($)]]</f>
        <v>0.25280730967934761</v>
      </c>
      <c r="R11" s="10">
        <f>Africa_Car_Sales[[#This Row],[Sale Price ($)]]-Africa_Car_Sales[[#This Row],[Market Value ($)]]</f>
        <v>1842</v>
      </c>
      <c r="S11" s="5">
        <f>(Africa_Car_Sales[[#This Row],[Sale Price ($)]]-Africa_Car_Sales[[#This Row],[Market Value ($)]])/Africa_Car_Sales[[#This Row],[Market Value ($)]]</f>
        <v>4.0933333333333335E-2</v>
      </c>
      <c r="T11" t="s">
        <v>43</v>
      </c>
    </row>
    <row r="12" spans="1:20" x14ac:dyDescent="0.35">
      <c r="A12" t="s">
        <v>73</v>
      </c>
      <c r="B12" s="1" t="s">
        <v>74</v>
      </c>
      <c r="C12" t="s">
        <v>75</v>
      </c>
      <c r="D12" t="s">
        <v>47</v>
      </c>
      <c r="E12" t="s">
        <v>76</v>
      </c>
      <c r="F12">
        <v>2023</v>
      </c>
      <c r="G12" t="s">
        <v>35</v>
      </c>
      <c r="H12" t="s">
        <v>36</v>
      </c>
      <c r="I12" t="s">
        <v>37</v>
      </c>
      <c r="J12">
        <v>1</v>
      </c>
      <c r="K12" s="2">
        <v>15000</v>
      </c>
      <c r="L12" s="2">
        <f>Africa_Car_Sales[[#This Row],[Cost Price ($)]]*Africa_Car_Sales[[#This Row],[Units Sold]]</f>
        <v>15000</v>
      </c>
      <c r="M12" s="2">
        <v>23270</v>
      </c>
      <c r="N12" s="2">
        <v>22000</v>
      </c>
      <c r="O12" s="2">
        <f>Africa_Car_Sales[[#This Row],[Sale Price ($)]]*Africa_Car_Sales[[#This Row],[Units Sold]]</f>
        <v>23270</v>
      </c>
      <c r="P12" s="2">
        <f>Africa_Car_Sales[[#This Row],[Revenue($)]]-Africa_Car_Sales[[#This Row],[Total Cost Price ($)]]</f>
        <v>8270</v>
      </c>
      <c r="Q12" s="3">
        <f>Africa_Car_Sales[[#This Row],[Total Profit ($)]]/Africa_Car_Sales[[#This Row],[Revenue($)]]</f>
        <v>0.35539321014181352</v>
      </c>
      <c r="R12" s="10">
        <f>Africa_Car_Sales[[#This Row],[Sale Price ($)]]-Africa_Car_Sales[[#This Row],[Market Value ($)]]</f>
        <v>1270</v>
      </c>
      <c r="S12" s="5">
        <f>(Africa_Car_Sales[[#This Row],[Sale Price ($)]]-Africa_Car_Sales[[#This Row],[Market Value ($)]])/Africa_Car_Sales[[#This Row],[Market Value ($)]]</f>
        <v>5.7727272727272724E-2</v>
      </c>
      <c r="T12" t="s">
        <v>77</v>
      </c>
    </row>
    <row r="13" spans="1:20" x14ac:dyDescent="0.35">
      <c r="A13" t="s">
        <v>78</v>
      </c>
      <c r="B13" s="1" t="s">
        <v>79</v>
      </c>
      <c r="C13" t="s">
        <v>80</v>
      </c>
      <c r="D13" t="s">
        <v>17</v>
      </c>
      <c r="E13" t="s">
        <v>81</v>
      </c>
      <c r="F13">
        <v>2022</v>
      </c>
      <c r="G13" t="s">
        <v>27</v>
      </c>
      <c r="H13" t="s">
        <v>82</v>
      </c>
      <c r="I13" t="s">
        <v>83</v>
      </c>
      <c r="J13">
        <v>3</v>
      </c>
      <c r="K13" s="2">
        <v>65000</v>
      </c>
      <c r="L13" s="2">
        <f>Africa_Car_Sales[[#This Row],[Cost Price ($)]]*Africa_Car_Sales[[#This Row],[Units Sold]]</f>
        <v>195000</v>
      </c>
      <c r="M13" s="2">
        <v>78244</v>
      </c>
      <c r="N13" s="2">
        <v>85000</v>
      </c>
      <c r="O13" s="2">
        <f>Africa_Car_Sales[[#This Row],[Sale Price ($)]]*Africa_Car_Sales[[#This Row],[Units Sold]]</f>
        <v>234732</v>
      </c>
      <c r="P13" s="2">
        <f>Africa_Car_Sales[[#This Row],[Revenue($)]]-Africa_Car_Sales[[#This Row],[Total Cost Price ($)]]</f>
        <v>39732</v>
      </c>
      <c r="Q13" s="3">
        <f>Africa_Car_Sales[[#This Row],[Total Profit ($)]]/Africa_Car_Sales[[#This Row],[Revenue($)]]</f>
        <v>0.16926537498082919</v>
      </c>
      <c r="R13" s="10">
        <f>Africa_Car_Sales[[#This Row],[Sale Price ($)]]-Africa_Car_Sales[[#This Row],[Market Value ($)]]</f>
        <v>-6756</v>
      </c>
      <c r="S13" s="5">
        <f>(Africa_Car_Sales[[#This Row],[Sale Price ($)]]-Africa_Car_Sales[[#This Row],[Market Value ($)]])/Africa_Car_Sales[[#This Row],[Market Value ($)]]</f>
        <v>-7.9482352941176476E-2</v>
      </c>
      <c r="T13" s="13" t="s">
        <v>84</v>
      </c>
    </row>
    <row r="14" spans="1:20" x14ac:dyDescent="0.35">
      <c r="A14" t="s">
        <v>85</v>
      </c>
      <c r="B14" s="1" t="s">
        <v>86</v>
      </c>
      <c r="C14" t="s">
        <v>87</v>
      </c>
      <c r="D14" t="s">
        <v>17</v>
      </c>
      <c r="E14" t="s">
        <v>88</v>
      </c>
      <c r="F14">
        <v>2024</v>
      </c>
      <c r="G14" t="s">
        <v>35</v>
      </c>
      <c r="H14" t="s">
        <v>36</v>
      </c>
      <c r="I14" t="s">
        <v>89</v>
      </c>
      <c r="J14">
        <v>5</v>
      </c>
      <c r="K14" s="2">
        <v>18000</v>
      </c>
      <c r="L14" s="2">
        <f>Africa_Car_Sales[[#This Row],[Cost Price ($)]]*Africa_Car_Sales[[#This Row],[Units Sold]]</f>
        <v>90000</v>
      </c>
      <c r="M14" s="2">
        <v>25008</v>
      </c>
      <c r="N14" s="2">
        <v>24000</v>
      </c>
      <c r="O14" s="2">
        <f>Africa_Car_Sales[[#This Row],[Sale Price ($)]]*Africa_Car_Sales[[#This Row],[Units Sold]]</f>
        <v>125040</v>
      </c>
      <c r="P14" s="2">
        <f>Africa_Car_Sales[[#This Row],[Revenue($)]]-Africa_Car_Sales[[#This Row],[Total Cost Price ($)]]</f>
        <v>35040</v>
      </c>
      <c r="Q14" s="3">
        <f>Africa_Car_Sales[[#This Row],[Total Profit ($)]]/Africa_Car_Sales[[#This Row],[Revenue($)]]</f>
        <v>0.28023032629558542</v>
      </c>
      <c r="R14" s="10">
        <f>Africa_Car_Sales[[#This Row],[Sale Price ($)]]-Africa_Car_Sales[[#This Row],[Market Value ($)]]</f>
        <v>1008</v>
      </c>
      <c r="S14" s="5">
        <f>(Africa_Car_Sales[[#This Row],[Sale Price ($)]]-Africa_Car_Sales[[#This Row],[Market Value ($)]])/Africa_Car_Sales[[#This Row],[Market Value ($)]]</f>
        <v>4.2000000000000003E-2</v>
      </c>
      <c r="T14" t="s">
        <v>90</v>
      </c>
    </row>
    <row r="15" spans="1:20" x14ac:dyDescent="0.35">
      <c r="A15" t="s">
        <v>91</v>
      </c>
      <c r="B15" s="1" t="s">
        <v>92</v>
      </c>
      <c r="C15" t="s">
        <v>93</v>
      </c>
      <c r="D15" t="s">
        <v>17</v>
      </c>
      <c r="E15" t="s">
        <v>26</v>
      </c>
      <c r="F15">
        <v>2018</v>
      </c>
      <c r="G15" t="s">
        <v>27</v>
      </c>
      <c r="H15" t="s">
        <v>28</v>
      </c>
      <c r="I15" t="s">
        <v>94</v>
      </c>
      <c r="J15">
        <v>5</v>
      </c>
      <c r="K15" s="2">
        <v>40000</v>
      </c>
      <c r="L15" s="2">
        <f>Africa_Car_Sales[[#This Row],[Cost Price ($)]]*Africa_Car_Sales[[#This Row],[Units Sold]]</f>
        <v>200000</v>
      </c>
      <c r="M15" s="2">
        <v>48322</v>
      </c>
      <c r="N15" s="2">
        <v>52000</v>
      </c>
      <c r="O15" s="2">
        <f>Africa_Car_Sales[[#This Row],[Sale Price ($)]]*Africa_Car_Sales[[#This Row],[Units Sold]]</f>
        <v>241610</v>
      </c>
      <c r="P15" s="2">
        <f>Africa_Car_Sales[[#This Row],[Revenue($)]]-Africa_Car_Sales[[#This Row],[Total Cost Price ($)]]</f>
        <v>41610</v>
      </c>
      <c r="Q15" s="3">
        <f>Africa_Car_Sales[[#This Row],[Total Profit ($)]]/Africa_Car_Sales[[#This Row],[Revenue($)]]</f>
        <v>0.17221969289350605</v>
      </c>
      <c r="R15" s="10">
        <f>Africa_Car_Sales[[#This Row],[Sale Price ($)]]-Africa_Car_Sales[[#This Row],[Market Value ($)]]</f>
        <v>-3678</v>
      </c>
      <c r="S15" s="5">
        <f>(Africa_Car_Sales[[#This Row],[Sale Price ($)]]-Africa_Car_Sales[[#This Row],[Market Value ($)]])/Africa_Car_Sales[[#This Row],[Market Value ($)]]</f>
        <v>-7.0730769230769236E-2</v>
      </c>
      <c r="T15" t="s">
        <v>30</v>
      </c>
    </row>
    <row r="16" spans="1:20" x14ac:dyDescent="0.35">
      <c r="A16" t="s">
        <v>95</v>
      </c>
      <c r="B16" s="1" t="s">
        <v>96</v>
      </c>
      <c r="C16" t="s">
        <v>97</v>
      </c>
      <c r="D16" t="s">
        <v>17</v>
      </c>
      <c r="E16" t="s">
        <v>98</v>
      </c>
      <c r="F16">
        <v>2021</v>
      </c>
      <c r="G16" t="s">
        <v>27</v>
      </c>
      <c r="H16" t="s">
        <v>20</v>
      </c>
      <c r="I16" t="s">
        <v>99</v>
      </c>
      <c r="J16">
        <v>5</v>
      </c>
      <c r="K16" s="2">
        <v>48000</v>
      </c>
      <c r="L16" s="2">
        <f>Africa_Car_Sales[[#This Row],[Cost Price ($)]]*Africa_Car_Sales[[#This Row],[Units Sold]]</f>
        <v>240000</v>
      </c>
      <c r="M16" s="2">
        <v>59669</v>
      </c>
      <c r="N16" s="2">
        <v>62000</v>
      </c>
      <c r="O16" s="2">
        <f>Africa_Car_Sales[[#This Row],[Sale Price ($)]]*Africa_Car_Sales[[#This Row],[Units Sold]]</f>
        <v>298345</v>
      </c>
      <c r="P16" s="2">
        <f>Africa_Car_Sales[[#This Row],[Revenue($)]]-Africa_Car_Sales[[#This Row],[Total Cost Price ($)]]</f>
        <v>58345</v>
      </c>
      <c r="Q16" s="3">
        <f>Africa_Car_Sales[[#This Row],[Total Profit ($)]]/Africa_Car_Sales[[#This Row],[Revenue($)]]</f>
        <v>0.19556218471903333</v>
      </c>
      <c r="R16" s="10">
        <f>Africa_Car_Sales[[#This Row],[Sale Price ($)]]-Africa_Car_Sales[[#This Row],[Market Value ($)]]</f>
        <v>-2331</v>
      </c>
      <c r="S16" s="5">
        <f>(Africa_Car_Sales[[#This Row],[Sale Price ($)]]-Africa_Car_Sales[[#This Row],[Market Value ($)]])/Africa_Car_Sales[[#This Row],[Market Value ($)]]</f>
        <v>-3.7596774193548385E-2</v>
      </c>
      <c r="T16" t="s">
        <v>100</v>
      </c>
    </row>
    <row r="17" spans="1:20" x14ac:dyDescent="0.35">
      <c r="A17" t="s">
        <v>101</v>
      </c>
      <c r="B17" s="1" t="s">
        <v>102</v>
      </c>
      <c r="C17" t="s">
        <v>103</v>
      </c>
      <c r="D17" t="s">
        <v>47</v>
      </c>
      <c r="E17" t="s">
        <v>76</v>
      </c>
      <c r="F17">
        <v>2019</v>
      </c>
      <c r="G17" t="s">
        <v>35</v>
      </c>
      <c r="H17" t="s">
        <v>20</v>
      </c>
      <c r="I17" t="s">
        <v>99</v>
      </c>
      <c r="J17">
        <v>2</v>
      </c>
      <c r="K17" s="2">
        <v>15000</v>
      </c>
      <c r="L17" s="2">
        <f>Africa_Car_Sales[[#This Row],[Cost Price ($)]]*Africa_Car_Sales[[#This Row],[Units Sold]]</f>
        <v>30000</v>
      </c>
      <c r="M17" s="2">
        <v>21829</v>
      </c>
      <c r="N17" s="2">
        <v>22000</v>
      </c>
      <c r="O17" s="2">
        <f>Africa_Car_Sales[[#This Row],[Sale Price ($)]]*Africa_Car_Sales[[#This Row],[Units Sold]]</f>
        <v>43658</v>
      </c>
      <c r="P17" s="2">
        <f>Africa_Car_Sales[[#This Row],[Revenue($)]]-Africa_Car_Sales[[#This Row],[Total Cost Price ($)]]</f>
        <v>13658</v>
      </c>
      <c r="Q17" s="3">
        <f>Africa_Car_Sales[[#This Row],[Total Profit ($)]]/Africa_Car_Sales[[#This Row],[Revenue($)]]</f>
        <v>0.31284071647807959</v>
      </c>
      <c r="R17" s="10">
        <f>Africa_Car_Sales[[#This Row],[Sale Price ($)]]-Africa_Car_Sales[[#This Row],[Market Value ($)]]</f>
        <v>-171</v>
      </c>
      <c r="S17" s="5">
        <f>(Africa_Car_Sales[[#This Row],[Sale Price ($)]]-Africa_Car_Sales[[#This Row],[Market Value ($)]])/Africa_Car_Sales[[#This Row],[Market Value ($)]]</f>
        <v>-7.7727272727272723E-3</v>
      </c>
      <c r="T17" t="s">
        <v>77</v>
      </c>
    </row>
    <row r="18" spans="1:20" x14ac:dyDescent="0.35">
      <c r="A18" t="s">
        <v>104</v>
      </c>
      <c r="B18" s="1" t="s">
        <v>105</v>
      </c>
      <c r="C18" t="s">
        <v>106</v>
      </c>
      <c r="D18" t="s">
        <v>17</v>
      </c>
      <c r="E18" t="s">
        <v>42</v>
      </c>
      <c r="F18">
        <v>2018</v>
      </c>
      <c r="G18" t="s">
        <v>35</v>
      </c>
      <c r="H18" t="s">
        <v>28</v>
      </c>
      <c r="I18" t="s">
        <v>29</v>
      </c>
      <c r="J18">
        <v>3</v>
      </c>
      <c r="K18" s="2">
        <v>35000</v>
      </c>
      <c r="L18" s="2">
        <f>Africa_Car_Sales[[#This Row],[Cost Price ($)]]*Africa_Car_Sales[[#This Row],[Units Sold]]</f>
        <v>105000</v>
      </c>
      <c r="M18" s="2">
        <v>47919</v>
      </c>
      <c r="N18" s="2">
        <v>45000</v>
      </c>
      <c r="O18" s="2">
        <f>Africa_Car_Sales[[#This Row],[Sale Price ($)]]*Africa_Car_Sales[[#This Row],[Units Sold]]</f>
        <v>143757</v>
      </c>
      <c r="P18" s="2">
        <f>Africa_Car_Sales[[#This Row],[Revenue($)]]-Africa_Car_Sales[[#This Row],[Total Cost Price ($)]]</f>
        <v>38757</v>
      </c>
      <c r="Q18" s="3">
        <f>Africa_Car_Sales[[#This Row],[Total Profit ($)]]/Africa_Car_Sales[[#This Row],[Revenue($)]]</f>
        <v>0.26960078465744275</v>
      </c>
      <c r="R18" s="10">
        <f>Africa_Car_Sales[[#This Row],[Sale Price ($)]]-Africa_Car_Sales[[#This Row],[Market Value ($)]]</f>
        <v>2919</v>
      </c>
      <c r="S18" s="5">
        <f>(Africa_Car_Sales[[#This Row],[Sale Price ($)]]-Africa_Car_Sales[[#This Row],[Market Value ($)]])/Africa_Car_Sales[[#This Row],[Market Value ($)]]</f>
        <v>6.486666666666667E-2</v>
      </c>
      <c r="T18" t="s">
        <v>43</v>
      </c>
    </row>
    <row r="19" spans="1:20" x14ac:dyDescent="0.35">
      <c r="A19" t="s">
        <v>107</v>
      </c>
      <c r="B19" s="1" t="s">
        <v>108</v>
      </c>
      <c r="C19" t="s">
        <v>109</v>
      </c>
      <c r="D19" t="s">
        <v>17</v>
      </c>
      <c r="E19" t="s">
        <v>26</v>
      </c>
      <c r="F19">
        <v>2019</v>
      </c>
      <c r="G19" t="s">
        <v>27</v>
      </c>
      <c r="H19" t="s">
        <v>62</v>
      </c>
      <c r="I19" t="s">
        <v>72</v>
      </c>
      <c r="J19">
        <v>4</v>
      </c>
      <c r="K19" s="2">
        <v>40000</v>
      </c>
      <c r="L19" s="2">
        <f>Africa_Car_Sales[[#This Row],[Cost Price ($)]]*Africa_Car_Sales[[#This Row],[Units Sold]]</f>
        <v>160000</v>
      </c>
      <c r="M19" s="2">
        <v>54368</v>
      </c>
      <c r="N19" s="2">
        <v>52000</v>
      </c>
      <c r="O19" s="2">
        <f>Africa_Car_Sales[[#This Row],[Sale Price ($)]]*Africa_Car_Sales[[#This Row],[Units Sold]]</f>
        <v>217472</v>
      </c>
      <c r="P19" s="2">
        <f>Africa_Car_Sales[[#This Row],[Revenue($)]]-Africa_Car_Sales[[#This Row],[Total Cost Price ($)]]</f>
        <v>57472</v>
      </c>
      <c r="Q19" s="3">
        <f>Africa_Car_Sales[[#This Row],[Total Profit ($)]]/Africa_Car_Sales[[#This Row],[Revenue($)]]</f>
        <v>0.26427310182460273</v>
      </c>
      <c r="R19" s="10">
        <f>Africa_Car_Sales[[#This Row],[Sale Price ($)]]-Africa_Car_Sales[[#This Row],[Market Value ($)]]</f>
        <v>2368</v>
      </c>
      <c r="S19" s="5">
        <f>(Africa_Car_Sales[[#This Row],[Sale Price ($)]]-Africa_Car_Sales[[#This Row],[Market Value ($)]])/Africa_Car_Sales[[#This Row],[Market Value ($)]]</f>
        <v>4.5538461538461542E-2</v>
      </c>
      <c r="T19" t="s">
        <v>30</v>
      </c>
    </row>
    <row r="20" spans="1:20" x14ac:dyDescent="0.35">
      <c r="A20" t="s">
        <v>110</v>
      </c>
      <c r="B20" s="1" t="s">
        <v>111</v>
      </c>
      <c r="C20" t="s">
        <v>112</v>
      </c>
      <c r="D20" t="s">
        <v>113</v>
      </c>
      <c r="E20" t="s">
        <v>114</v>
      </c>
      <c r="F20">
        <v>2018</v>
      </c>
      <c r="G20" t="s">
        <v>35</v>
      </c>
      <c r="H20" t="s">
        <v>67</v>
      </c>
      <c r="I20" t="s">
        <v>115</v>
      </c>
      <c r="J20">
        <v>1</v>
      </c>
      <c r="K20" s="2">
        <v>14000</v>
      </c>
      <c r="L20" s="2">
        <f>Africa_Car_Sales[[#This Row],[Cost Price ($)]]*Africa_Car_Sales[[#This Row],[Units Sold]]</f>
        <v>14000</v>
      </c>
      <c r="M20" s="2">
        <v>21549</v>
      </c>
      <c r="N20" s="2">
        <v>20000</v>
      </c>
      <c r="O20" s="2">
        <f>Africa_Car_Sales[[#This Row],[Sale Price ($)]]*Africa_Car_Sales[[#This Row],[Units Sold]]</f>
        <v>21549</v>
      </c>
      <c r="P20" s="2">
        <f>Africa_Car_Sales[[#This Row],[Revenue($)]]-Africa_Car_Sales[[#This Row],[Total Cost Price ($)]]</f>
        <v>7549</v>
      </c>
      <c r="Q20" s="3">
        <f>Africa_Car_Sales[[#This Row],[Total Profit ($)]]/Africa_Car_Sales[[#This Row],[Revenue($)]]</f>
        <v>0.35031788018005477</v>
      </c>
      <c r="R20" s="10">
        <f>Africa_Car_Sales[[#This Row],[Sale Price ($)]]-Africa_Car_Sales[[#This Row],[Market Value ($)]]</f>
        <v>1549</v>
      </c>
      <c r="S20" s="5">
        <f>(Africa_Car_Sales[[#This Row],[Sale Price ($)]]-Africa_Car_Sales[[#This Row],[Market Value ($)]])/Africa_Car_Sales[[#This Row],[Market Value ($)]]</f>
        <v>7.7450000000000005E-2</v>
      </c>
      <c r="T20" t="s">
        <v>116</v>
      </c>
    </row>
    <row r="21" spans="1:20" x14ac:dyDescent="0.35">
      <c r="A21" t="s">
        <v>117</v>
      </c>
      <c r="B21" s="1" t="s">
        <v>118</v>
      </c>
      <c r="C21" t="s">
        <v>119</v>
      </c>
      <c r="D21" t="s">
        <v>17</v>
      </c>
      <c r="E21" t="s">
        <v>98</v>
      </c>
      <c r="F21">
        <v>2021</v>
      </c>
      <c r="G21" t="s">
        <v>27</v>
      </c>
      <c r="H21" t="s">
        <v>62</v>
      </c>
      <c r="I21" t="s">
        <v>72</v>
      </c>
      <c r="J21">
        <v>3</v>
      </c>
      <c r="K21" s="2">
        <v>48000</v>
      </c>
      <c r="L21" s="2">
        <f>Africa_Car_Sales[[#This Row],[Cost Price ($)]]*Africa_Car_Sales[[#This Row],[Units Sold]]</f>
        <v>144000</v>
      </c>
      <c r="M21" s="2">
        <v>61225</v>
      </c>
      <c r="N21" s="2">
        <v>62000</v>
      </c>
      <c r="O21" s="2">
        <f>Africa_Car_Sales[[#This Row],[Sale Price ($)]]*Africa_Car_Sales[[#This Row],[Units Sold]]</f>
        <v>183675</v>
      </c>
      <c r="P21" s="2">
        <f>Africa_Car_Sales[[#This Row],[Revenue($)]]-Africa_Car_Sales[[#This Row],[Total Cost Price ($)]]</f>
        <v>39675</v>
      </c>
      <c r="Q21" s="3">
        <f>Africa_Car_Sales[[#This Row],[Total Profit ($)]]/Africa_Car_Sales[[#This Row],[Revenue($)]]</f>
        <v>0.21600653327888933</v>
      </c>
      <c r="R21" s="10">
        <f>Africa_Car_Sales[[#This Row],[Sale Price ($)]]-Africa_Car_Sales[[#This Row],[Market Value ($)]]</f>
        <v>-775</v>
      </c>
      <c r="S21" s="5">
        <f>(Africa_Car_Sales[[#This Row],[Sale Price ($)]]-Africa_Car_Sales[[#This Row],[Market Value ($)]])/Africa_Car_Sales[[#This Row],[Market Value ($)]]</f>
        <v>-1.2500000000000001E-2</v>
      </c>
      <c r="T21" t="s">
        <v>100</v>
      </c>
    </row>
    <row r="22" spans="1:20" x14ac:dyDescent="0.35">
      <c r="A22" t="s">
        <v>120</v>
      </c>
      <c r="B22" s="1" t="s">
        <v>121</v>
      </c>
      <c r="C22" t="s">
        <v>122</v>
      </c>
      <c r="D22" t="s">
        <v>17</v>
      </c>
      <c r="E22" t="s">
        <v>26</v>
      </c>
      <c r="F22">
        <v>2021</v>
      </c>
      <c r="G22" t="s">
        <v>27</v>
      </c>
      <c r="H22" t="s">
        <v>36</v>
      </c>
      <c r="I22" t="s">
        <v>123</v>
      </c>
      <c r="J22">
        <v>4</v>
      </c>
      <c r="K22" s="2">
        <v>40000</v>
      </c>
      <c r="L22" s="2">
        <f>Africa_Car_Sales[[#This Row],[Cost Price ($)]]*Africa_Car_Sales[[#This Row],[Units Sold]]</f>
        <v>160000</v>
      </c>
      <c r="M22" s="2">
        <v>49224</v>
      </c>
      <c r="N22" s="2">
        <v>52000</v>
      </c>
      <c r="O22" s="2">
        <f>Africa_Car_Sales[[#This Row],[Sale Price ($)]]*Africa_Car_Sales[[#This Row],[Units Sold]]</f>
        <v>196896</v>
      </c>
      <c r="P22" s="2">
        <f>Africa_Car_Sales[[#This Row],[Revenue($)]]-Africa_Car_Sales[[#This Row],[Total Cost Price ($)]]</f>
        <v>36896</v>
      </c>
      <c r="Q22" s="3">
        <f>Africa_Car_Sales[[#This Row],[Total Profit ($)]]/Africa_Car_Sales[[#This Row],[Revenue($)]]</f>
        <v>0.18738826588655941</v>
      </c>
      <c r="R22" s="10">
        <f>Africa_Car_Sales[[#This Row],[Sale Price ($)]]-Africa_Car_Sales[[#This Row],[Market Value ($)]]</f>
        <v>-2776</v>
      </c>
      <c r="S22" s="5">
        <f>(Africa_Car_Sales[[#This Row],[Sale Price ($)]]-Africa_Car_Sales[[#This Row],[Market Value ($)]])/Africa_Car_Sales[[#This Row],[Market Value ($)]]</f>
        <v>-5.3384615384615385E-2</v>
      </c>
      <c r="T22" t="s">
        <v>30</v>
      </c>
    </row>
    <row r="23" spans="1:20" x14ac:dyDescent="0.35">
      <c r="A23" t="s">
        <v>124</v>
      </c>
      <c r="B23" s="1" t="s">
        <v>125</v>
      </c>
      <c r="C23" t="s">
        <v>126</v>
      </c>
      <c r="D23" t="s">
        <v>17</v>
      </c>
      <c r="E23" t="s">
        <v>81</v>
      </c>
      <c r="F23">
        <v>2023</v>
      </c>
      <c r="G23" t="s">
        <v>27</v>
      </c>
      <c r="H23" t="s">
        <v>67</v>
      </c>
      <c r="I23" t="s">
        <v>127</v>
      </c>
      <c r="J23">
        <v>5</v>
      </c>
      <c r="K23" s="2">
        <v>65000</v>
      </c>
      <c r="L23" s="2">
        <f>Africa_Car_Sales[[#This Row],[Cost Price ($)]]*Africa_Car_Sales[[#This Row],[Units Sold]]</f>
        <v>325000</v>
      </c>
      <c r="M23" s="2">
        <v>82079</v>
      </c>
      <c r="N23" s="2">
        <v>85000</v>
      </c>
      <c r="O23" s="2">
        <f>Africa_Car_Sales[[#This Row],[Sale Price ($)]]*Africa_Car_Sales[[#This Row],[Units Sold]]</f>
        <v>410395</v>
      </c>
      <c r="P23" s="2">
        <f>Africa_Car_Sales[[#This Row],[Revenue($)]]-Africa_Car_Sales[[#This Row],[Total Cost Price ($)]]</f>
        <v>85395</v>
      </c>
      <c r="Q23" s="3">
        <f>Africa_Car_Sales[[#This Row],[Total Profit ($)]]/Africa_Car_Sales[[#This Row],[Revenue($)]]</f>
        <v>0.20808002046808563</v>
      </c>
      <c r="R23" s="10">
        <f>Africa_Car_Sales[[#This Row],[Sale Price ($)]]-Africa_Car_Sales[[#This Row],[Market Value ($)]]</f>
        <v>-2921</v>
      </c>
      <c r="S23" s="5">
        <f>(Africa_Car_Sales[[#This Row],[Sale Price ($)]]-Africa_Car_Sales[[#This Row],[Market Value ($)]])/Africa_Car_Sales[[#This Row],[Market Value ($)]]</f>
        <v>-3.4364705882352943E-2</v>
      </c>
      <c r="T23" t="s">
        <v>84</v>
      </c>
    </row>
    <row r="24" spans="1:20" x14ac:dyDescent="0.35">
      <c r="A24" t="s">
        <v>128</v>
      </c>
      <c r="B24" s="1" t="s">
        <v>129</v>
      </c>
      <c r="C24" t="s">
        <v>130</v>
      </c>
      <c r="D24" t="s">
        <v>17</v>
      </c>
      <c r="E24" t="s">
        <v>34</v>
      </c>
      <c r="F24">
        <v>2022</v>
      </c>
      <c r="G24" t="s">
        <v>35</v>
      </c>
      <c r="H24" t="s">
        <v>28</v>
      </c>
      <c r="I24" t="s">
        <v>29</v>
      </c>
      <c r="J24">
        <v>4</v>
      </c>
      <c r="K24" s="2">
        <v>22000</v>
      </c>
      <c r="L24" s="2">
        <f>Africa_Car_Sales[[#This Row],[Cost Price ($)]]*Africa_Car_Sales[[#This Row],[Units Sold]]</f>
        <v>88000</v>
      </c>
      <c r="M24" s="2">
        <v>25985</v>
      </c>
      <c r="N24" s="2">
        <v>28000</v>
      </c>
      <c r="O24" s="2">
        <f>Africa_Car_Sales[[#This Row],[Sale Price ($)]]*Africa_Car_Sales[[#This Row],[Units Sold]]</f>
        <v>103940</v>
      </c>
      <c r="P24" s="2">
        <f>Africa_Car_Sales[[#This Row],[Revenue($)]]-Africa_Car_Sales[[#This Row],[Total Cost Price ($)]]</f>
        <v>15940</v>
      </c>
      <c r="Q24" s="3">
        <f>Africa_Car_Sales[[#This Row],[Total Profit ($)]]/Africa_Car_Sales[[#This Row],[Revenue($)]]</f>
        <v>0.15335770636905907</v>
      </c>
      <c r="R24" s="10">
        <f>Africa_Car_Sales[[#This Row],[Sale Price ($)]]-Africa_Car_Sales[[#This Row],[Market Value ($)]]</f>
        <v>-2015</v>
      </c>
      <c r="S24" s="5">
        <f>(Africa_Car_Sales[[#This Row],[Sale Price ($)]]-Africa_Car_Sales[[#This Row],[Market Value ($)]])/Africa_Car_Sales[[#This Row],[Market Value ($)]]</f>
        <v>-7.1964285714285717E-2</v>
      </c>
      <c r="T24" t="s">
        <v>38</v>
      </c>
    </row>
    <row r="25" spans="1:20" x14ac:dyDescent="0.35">
      <c r="A25" t="s">
        <v>131</v>
      </c>
      <c r="B25" s="1" t="s">
        <v>132</v>
      </c>
      <c r="C25" t="s">
        <v>133</v>
      </c>
      <c r="D25" t="s">
        <v>113</v>
      </c>
      <c r="E25" t="s">
        <v>114</v>
      </c>
      <c r="F25">
        <v>2018</v>
      </c>
      <c r="G25" t="s">
        <v>35</v>
      </c>
      <c r="H25" t="s">
        <v>62</v>
      </c>
      <c r="I25" t="s">
        <v>63</v>
      </c>
      <c r="J25">
        <v>4</v>
      </c>
      <c r="K25" s="2">
        <v>14000</v>
      </c>
      <c r="L25" s="2">
        <f>Africa_Car_Sales[[#This Row],[Cost Price ($)]]*Africa_Car_Sales[[#This Row],[Units Sold]]</f>
        <v>56000</v>
      </c>
      <c r="M25" s="2">
        <v>21158</v>
      </c>
      <c r="N25" s="2">
        <v>20000</v>
      </c>
      <c r="O25" s="2">
        <f>Africa_Car_Sales[[#This Row],[Sale Price ($)]]*Africa_Car_Sales[[#This Row],[Units Sold]]</f>
        <v>84632</v>
      </c>
      <c r="P25" s="2">
        <f>Africa_Car_Sales[[#This Row],[Revenue($)]]-Africa_Car_Sales[[#This Row],[Total Cost Price ($)]]</f>
        <v>28632</v>
      </c>
      <c r="Q25" s="3">
        <f>Africa_Car_Sales[[#This Row],[Total Profit ($)]]/Africa_Car_Sales[[#This Row],[Revenue($)]]</f>
        <v>0.3383117496927876</v>
      </c>
      <c r="R25" s="10">
        <f>Africa_Car_Sales[[#This Row],[Sale Price ($)]]-Africa_Car_Sales[[#This Row],[Market Value ($)]]</f>
        <v>1158</v>
      </c>
      <c r="S25" s="5">
        <f>(Africa_Car_Sales[[#This Row],[Sale Price ($)]]-Africa_Car_Sales[[#This Row],[Market Value ($)]])/Africa_Car_Sales[[#This Row],[Market Value ($)]]</f>
        <v>5.79E-2</v>
      </c>
      <c r="T25" t="s">
        <v>116</v>
      </c>
    </row>
    <row r="26" spans="1:20" x14ac:dyDescent="0.35">
      <c r="A26" t="s">
        <v>134</v>
      </c>
      <c r="B26" s="1" t="s">
        <v>135</v>
      </c>
      <c r="C26" t="s">
        <v>136</v>
      </c>
      <c r="D26" t="s">
        <v>17</v>
      </c>
      <c r="E26" t="s">
        <v>88</v>
      </c>
      <c r="F26">
        <v>2023</v>
      </c>
      <c r="G26" t="s">
        <v>35</v>
      </c>
      <c r="H26" t="s">
        <v>20</v>
      </c>
      <c r="I26" t="s">
        <v>137</v>
      </c>
      <c r="J26">
        <v>2</v>
      </c>
      <c r="K26" s="2">
        <v>18000</v>
      </c>
      <c r="L26" s="2">
        <f>Africa_Car_Sales[[#This Row],[Cost Price ($)]]*Africa_Car_Sales[[#This Row],[Units Sold]]</f>
        <v>36000</v>
      </c>
      <c r="M26" s="2">
        <v>25669</v>
      </c>
      <c r="N26" s="2">
        <v>24000</v>
      </c>
      <c r="O26" s="2">
        <f>Africa_Car_Sales[[#This Row],[Sale Price ($)]]*Africa_Car_Sales[[#This Row],[Units Sold]]</f>
        <v>51338</v>
      </c>
      <c r="P26" s="2">
        <f>Africa_Car_Sales[[#This Row],[Revenue($)]]-Africa_Car_Sales[[#This Row],[Total Cost Price ($)]]</f>
        <v>15338</v>
      </c>
      <c r="Q26" s="3">
        <f>Africa_Car_Sales[[#This Row],[Total Profit ($)]]/Africa_Car_Sales[[#This Row],[Revenue($)]]</f>
        <v>0.29876504733335929</v>
      </c>
      <c r="R26" s="10">
        <f>Africa_Car_Sales[[#This Row],[Sale Price ($)]]-Africa_Car_Sales[[#This Row],[Market Value ($)]]</f>
        <v>1669</v>
      </c>
      <c r="S26" s="5">
        <f>(Africa_Car_Sales[[#This Row],[Sale Price ($)]]-Africa_Car_Sales[[#This Row],[Market Value ($)]])/Africa_Car_Sales[[#This Row],[Market Value ($)]]</f>
        <v>6.9541666666666668E-2</v>
      </c>
      <c r="T26" t="s">
        <v>90</v>
      </c>
    </row>
    <row r="27" spans="1:20" x14ac:dyDescent="0.35">
      <c r="A27" t="s">
        <v>138</v>
      </c>
      <c r="B27" s="1" t="s">
        <v>139</v>
      </c>
      <c r="C27" t="s">
        <v>140</v>
      </c>
      <c r="D27" t="s">
        <v>17</v>
      </c>
      <c r="E27" t="s">
        <v>88</v>
      </c>
      <c r="F27">
        <v>2018</v>
      </c>
      <c r="G27" t="s">
        <v>35</v>
      </c>
      <c r="H27" t="s">
        <v>20</v>
      </c>
      <c r="I27" t="s">
        <v>137</v>
      </c>
      <c r="J27">
        <v>1</v>
      </c>
      <c r="K27" s="2">
        <v>18000</v>
      </c>
      <c r="L27" s="2">
        <f>Africa_Car_Sales[[#This Row],[Cost Price ($)]]*Africa_Car_Sales[[#This Row],[Units Sold]]</f>
        <v>18000</v>
      </c>
      <c r="M27" s="2">
        <v>25647</v>
      </c>
      <c r="N27" s="2">
        <v>24000</v>
      </c>
      <c r="O27" s="2">
        <f>Africa_Car_Sales[[#This Row],[Sale Price ($)]]*Africa_Car_Sales[[#This Row],[Units Sold]]</f>
        <v>25647</v>
      </c>
      <c r="P27" s="2">
        <f>Africa_Car_Sales[[#This Row],[Revenue($)]]-Africa_Car_Sales[[#This Row],[Total Cost Price ($)]]</f>
        <v>7647</v>
      </c>
      <c r="Q27" s="3">
        <f>Africa_Car_Sales[[#This Row],[Total Profit ($)]]/Africa_Car_Sales[[#This Row],[Revenue($)]]</f>
        <v>0.29816352789799977</v>
      </c>
      <c r="R27" s="10">
        <f>Africa_Car_Sales[[#This Row],[Sale Price ($)]]-Africa_Car_Sales[[#This Row],[Market Value ($)]]</f>
        <v>1647</v>
      </c>
      <c r="S27" s="5">
        <f>(Africa_Car_Sales[[#This Row],[Sale Price ($)]]-Africa_Car_Sales[[#This Row],[Market Value ($)]])/Africa_Car_Sales[[#This Row],[Market Value ($)]]</f>
        <v>6.8625000000000005E-2</v>
      </c>
      <c r="T27" t="s">
        <v>90</v>
      </c>
    </row>
    <row r="28" spans="1:20" x14ac:dyDescent="0.35">
      <c r="A28" t="s">
        <v>141</v>
      </c>
      <c r="B28" s="1" t="s">
        <v>142</v>
      </c>
      <c r="C28" t="s">
        <v>143</v>
      </c>
      <c r="D28" t="s">
        <v>17</v>
      </c>
      <c r="E28" t="s">
        <v>98</v>
      </c>
      <c r="F28">
        <v>2019</v>
      </c>
      <c r="G28" t="s">
        <v>27</v>
      </c>
      <c r="H28" t="s">
        <v>62</v>
      </c>
      <c r="I28" t="s">
        <v>72</v>
      </c>
      <c r="J28">
        <v>1</v>
      </c>
      <c r="K28" s="2">
        <v>48000</v>
      </c>
      <c r="L28" s="2">
        <f>Africa_Car_Sales[[#This Row],[Cost Price ($)]]*Africa_Car_Sales[[#This Row],[Units Sold]]</f>
        <v>48000</v>
      </c>
      <c r="M28" s="2">
        <v>66298</v>
      </c>
      <c r="N28" s="2">
        <v>62000</v>
      </c>
      <c r="O28" s="2">
        <f>Africa_Car_Sales[[#This Row],[Sale Price ($)]]*Africa_Car_Sales[[#This Row],[Units Sold]]</f>
        <v>66298</v>
      </c>
      <c r="P28" s="2">
        <f>Africa_Car_Sales[[#This Row],[Revenue($)]]-Africa_Car_Sales[[#This Row],[Total Cost Price ($)]]</f>
        <v>18298</v>
      </c>
      <c r="Q28" s="3">
        <f>Africa_Car_Sales[[#This Row],[Total Profit ($)]]/Africa_Car_Sales[[#This Row],[Revenue($)]]</f>
        <v>0.27599625931400645</v>
      </c>
      <c r="R28" s="10">
        <f>Africa_Car_Sales[[#This Row],[Sale Price ($)]]-Africa_Car_Sales[[#This Row],[Market Value ($)]]</f>
        <v>4298</v>
      </c>
      <c r="S28" s="5">
        <f>(Africa_Car_Sales[[#This Row],[Sale Price ($)]]-Africa_Car_Sales[[#This Row],[Market Value ($)]])/Africa_Car_Sales[[#This Row],[Market Value ($)]]</f>
        <v>6.9322580645161294E-2</v>
      </c>
      <c r="T28" t="s">
        <v>100</v>
      </c>
    </row>
    <row r="29" spans="1:20" x14ac:dyDescent="0.35">
      <c r="A29" t="s">
        <v>144</v>
      </c>
      <c r="B29" s="1" t="s">
        <v>145</v>
      </c>
      <c r="C29" t="s">
        <v>146</v>
      </c>
      <c r="D29" t="s">
        <v>47</v>
      </c>
      <c r="E29" t="s">
        <v>76</v>
      </c>
      <c r="F29">
        <v>2019</v>
      </c>
      <c r="G29" t="s">
        <v>35</v>
      </c>
      <c r="H29" t="s">
        <v>20</v>
      </c>
      <c r="I29" t="s">
        <v>137</v>
      </c>
      <c r="J29">
        <v>1</v>
      </c>
      <c r="K29" s="2">
        <v>15000</v>
      </c>
      <c r="L29" s="2">
        <f>Africa_Car_Sales[[#This Row],[Cost Price ($)]]*Africa_Car_Sales[[#This Row],[Units Sold]]</f>
        <v>15000</v>
      </c>
      <c r="M29" s="2">
        <v>21294</v>
      </c>
      <c r="N29" s="2">
        <v>22000</v>
      </c>
      <c r="O29" s="2">
        <f>Africa_Car_Sales[[#This Row],[Sale Price ($)]]*Africa_Car_Sales[[#This Row],[Units Sold]]</f>
        <v>21294</v>
      </c>
      <c r="P29" s="2">
        <f>Africa_Car_Sales[[#This Row],[Revenue($)]]-Africa_Car_Sales[[#This Row],[Total Cost Price ($)]]</f>
        <v>6294</v>
      </c>
      <c r="Q29" s="3">
        <f>Africa_Car_Sales[[#This Row],[Total Profit ($)]]/Africa_Car_Sales[[#This Row],[Revenue($)]]</f>
        <v>0.29557621865314171</v>
      </c>
      <c r="R29" s="10">
        <f>Africa_Car_Sales[[#This Row],[Sale Price ($)]]-Africa_Car_Sales[[#This Row],[Market Value ($)]]</f>
        <v>-706</v>
      </c>
      <c r="S29" s="5">
        <f>(Africa_Car_Sales[[#This Row],[Sale Price ($)]]-Africa_Car_Sales[[#This Row],[Market Value ($)]])/Africa_Car_Sales[[#This Row],[Market Value ($)]]</f>
        <v>-3.2090909090909094E-2</v>
      </c>
      <c r="T29" t="s">
        <v>77</v>
      </c>
    </row>
    <row r="30" spans="1:20" x14ac:dyDescent="0.35">
      <c r="A30" t="s">
        <v>147</v>
      </c>
      <c r="B30" s="1" t="s">
        <v>148</v>
      </c>
      <c r="C30" t="s">
        <v>149</v>
      </c>
      <c r="D30" t="s">
        <v>17</v>
      </c>
      <c r="E30" t="s">
        <v>26</v>
      </c>
      <c r="F30">
        <v>2022</v>
      </c>
      <c r="G30" t="s">
        <v>27</v>
      </c>
      <c r="H30" t="s">
        <v>36</v>
      </c>
      <c r="I30" t="s">
        <v>123</v>
      </c>
      <c r="J30">
        <v>3</v>
      </c>
      <c r="K30" s="2">
        <v>40000</v>
      </c>
      <c r="L30" s="2">
        <f>Africa_Car_Sales[[#This Row],[Cost Price ($)]]*Africa_Car_Sales[[#This Row],[Units Sold]]</f>
        <v>120000</v>
      </c>
      <c r="M30" s="2">
        <v>53560</v>
      </c>
      <c r="N30" s="2">
        <v>52000</v>
      </c>
      <c r="O30" s="2">
        <f>Africa_Car_Sales[[#This Row],[Sale Price ($)]]*Africa_Car_Sales[[#This Row],[Units Sold]]</f>
        <v>160680</v>
      </c>
      <c r="P30" s="2">
        <f>Africa_Car_Sales[[#This Row],[Revenue($)]]-Africa_Car_Sales[[#This Row],[Total Cost Price ($)]]</f>
        <v>40680</v>
      </c>
      <c r="Q30" s="3">
        <f>Africa_Car_Sales[[#This Row],[Total Profit ($)]]/Africa_Car_Sales[[#This Row],[Revenue($)]]</f>
        <v>0.25317401045556387</v>
      </c>
      <c r="R30" s="10">
        <f>Africa_Car_Sales[[#This Row],[Sale Price ($)]]-Africa_Car_Sales[[#This Row],[Market Value ($)]]</f>
        <v>1560</v>
      </c>
      <c r="S30" s="5">
        <f>(Africa_Car_Sales[[#This Row],[Sale Price ($)]]-Africa_Car_Sales[[#This Row],[Market Value ($)]])/Africa_Car_Sales[[#This Row],[Market Value ($)]]</f>
        <v>0.03</v>
      </c>
      <c r="T30" t="s">
        <v>30</v>
      </c>
    </row>
    <row r="31" spans="1:20" x14ac:dyDescent="0.35">
      <c r="A31" t="s">
        <v>150</v>
      </c>
      <c r="B31" s="1" t="s">
        <v>151</v>
      </c>
      <c r="C31" t="s">
        <v>152</v>
      </c>
      <c r="D31" t="s">
        <v>17</v>
      </c>
      <c r="E31" t="s">
        <v>98</v>
      </c>
      <c r="F31">
        <v>2019</v>
      </c>
      <c r="G31" t="s">
        <v>27</v>
      </c>
      <c r="H31" t="s">
        <v>28</v>
      </c>
      <c r="I31" t="s">
        <v>29</v>
      </c>
      <c r="J31">
        <v>3</v>
      </c>
      <c r="K31" s="2">
        <v>48000</v>
      </c>
      <c r="L31" s="2">
        <f>Africa_Car_Sales[[#This Row],[Cost Price ($)]]*Africa_Car_Sales[[#This Row],[Units Sold]]</f>
        <v>144000</v>
      </c>
      <c r="M31" s="2">
        <v>63360</v>
      </c>
      <c r="N31" s="2">
        <v>62000</v>
      </c>
      <c r="O31" s="2">
        <f>Africa_Car_Sales[[#This Row],[Sale Price ($)]]*Africa_Car_Sales[[#This Row],[Units Sold]]</f>
        <v>190080</v>
      </c>
      <c r="P31" s="2">
        <f>Africa_Car_Sales[[#This Row],[Revenue($)]]-Africa_Car_Sales[[#This Row],[Total Cost Price ($)]]</f>
        <v>46080</v>
      </c>
      <c r="Q31" s="3">
        <f>Africa_Car_Sales[[#This Row],[Total Profit ($)]]/Africa_Car_Sales[[#This Row],[Revenue($)]]</f>
        <v>0.24242424242424243</v>
      </c>
      <c r="R31" s="10">
        <f>Africa_Car_Sales[[#This Row],[Sale Price ($)]]-Africa_Car_Sales[[#This Row],[Market Value ($)]]</f>
        <v>1360</v>
      </c>
      <c r="S31" s="5">
        <f>(Africa_Car_Sales[[#This Row],[Sale Price ($)]]-Africa_Car_Sales[[#This Row],[Market Value ($)]])/Africa_Car_Sales[[#This Row],[Market Value ($)]]</f>
        <v>2.1935483870967741E-2</v>
      </c>
      <c r="T31" t="s">
        <v>100</v>
      </c>
    </row>
    <row r="32" spans="1:20" x14ac:dyDescent="0.35">
      <c r="A32" t="s">
        <v>153</v>
      </c>
      <c r="B32" s="1" t="s">
        <v>154</v>
      </c>
      <c r="C32" t="s">
        <v>155</v>
      </c>
      <c r="D32" t="s">
        <v>17</v>
      </c>
      <c r="E32" t="s">
        <v>34</v>
      </c>
      <c r="F32">
        <v>2022</v>
      </c>
      <c r="G32" t="s">
        <v>35</v>
      </c>
      <c r="H32" t="s">
        <v>28</v>
      </c>
      <c r="I32" t="s">
        <v>54</v>
      </c>
      <c r="J32">
        <v>5</v>
      </c>
      <c r="K32" s="2">
        <v>22000</v>
      </c>
      <c r="L32" s="2">
        <f>Africa_Car_Sales[[#This Row],[Cost Price ($)]]*Africa_Car_Sales[[#This Row],[Units Sold]]</f>
        <v>110000</v>
      </c>
      <c r="M32" s="2">
        <v>29499</v>
      </c>
      <c r="N32" s="2">
        <v>28000</v>
      </c>
      <c r="O32" s="2">
        <f>Africa_Car_Sales[[#This Row],[Sale Price ($)]]*Africa_Car_Sales[[#This Row],[Units Sold]]</f>
        <v>147495</v>
      </c>
      <c r="P32" s="2">
        <f>Africa_Car_Sales[[#This Row],[Revenue($)]]-Africa_Car_Sales[[#This Row],[Total Cost Price ($)]]</f>
        <v>37495</v>
      </c>
      <c r="Q32" s="3">
        <f>Africa_Car_Sales[[#This Row],[Total Profit ($)]]/Africa_Car_Sales[[#This Row],[Revenue($)]]</f>
        <v>0.2542120071866843</v>
      </c>
      <c r="R32" s="10">
        <f>Africa_Car_Sales[[#This Row],[Sale Price ($)]]-Africa_Car_Sales[[#This Row],[Market Value ($)]]</f>
        <v>1499</v>
      </c>
      <c r="S32" s="5">
        <f>(Africa_Car_Sales[[#This Row],[Sale Price ($)]]-Africa_Car_Sales[[#This Row],[Market Value ($)]])/Africa_Car_Sales[[#This Row],[Market Value ($)]]</f>
        <v>5.3535714285714284E-2</v>
      </c>
      <c r="T32" t="s">
        <v>38</v>
      </c>
    </row>
    <row r="33" spans="1:20" x14ac:dyDescent="0.35">
      <c r="A33" t="s">
        <v>156</v>
      </c>
      <c r="B33" s="1" t="s">
        <v>157</v>
      </c>
      <c r="C33" t="s">
        <v>158</v>
      </c>
      <c r="D33" t="s">
        <v>113</v>
      </c>
      <c r="E33" t="s">
        <v>114</v>
      </c>
      <c r="F33">
        <v>2020</v>
      </c>
      <c r="G33" t="s">
        <v>35</v>
      </c>
      <c r="H33" t="s">
        <v>28</v>
      </c>
      <c r="I33" t="s">
        <v>94</v>
      </c>
      <c r="J33">
        <v>1</v>
      </c>
      <c r="K33" s="2">
        <v>14000</v>
      </c>
      <c r="L33" s="2">
        <f>Africa_Car_Sales[[#This Row],[Cost Price ($)]]*Africa_Car_Sales[[#This Row],[Units Sold]]</f>
        <v>14000</v>
      </c>
      <c r="M33" s="2">
        <v>19198</v>
      </c>
      <c r="N33" s="2">
        <v>20000</v>
      </c>
      <c r="O33" s="2">
        <f>Africa_Car_Sales[[#This Row],[Sale Price ($)]]*Africa_Car_Sales[[#This Row],[Units Sold]]</f>
        <v>19198</v>
      </c>
      <c r="P33" s="2">
        <f>Africa_Car_Sales[[#This Row],[Revenue($)]]-Africa_Car_Sales[[#This Row],[Total Cost Price ($)]]</f>
        <v>5198</v>
      </c>
      <c r="Q33" s="3">
        <f>Africa_Car_Sales[[#This Row],[Total Profit ($)]]/Africa_Car_Sales[[#This Row],[Revenue($)]]</f>
        <v>0.27075737055943327</v>
      </c>
      <c r="R33" s="10">
        <f>Africa_Car_Sales[[#This Row],[Sale Price ($)]]-Africa_Car_Sales[[#This Row],[Market Value ($)]]</f>
        <v>-802</v>
      </c>
      <c r="S33" s="5">
        <f>(Africa_Car_Sales[[#This Row],[Sale Price ($)]]-Africa_Car_Sales[[#This Row],[Market Value ($)]])/Africa_Car_Sales[[#This Row],[Market Value ($)]]</f>
        <v>-4.0099999999999997E-2</v>
      </c>
      <c r="T33" t="s">
        <v>116</v>
      </c>
    </row>
    <row r="34" spans="1:20" x14ac:dyDescent="0.35">
      <c r="A34" t="s">
        <v>159</v>
      </c>
      <c r="B34" s="1" t="s">
        <v>160</v>
      </c>
      <c r="C34" t="s">
        <v>161</v>
      </c>
      <c r="D34" t="s">
        <v>17</v>
      </c>
      <c r="E34" t="s">
        <v>98</v>
      </c>
      <c r="F34">
        <v>2024</v>
      </c>
      <c r="G34" t="s">
        <v>27</v>
      </c>
      <c r="H34" t="s">
        <v>62</v>
      </c>
      <c r="I34" t="s">
        <v>162</v>
      </c>
      <c r="J34">
        <v>3</v>
      </c>
      <c r="K34" s="2">
        <v>48000</v>
      </c>
      <c r="L34" s="2">
        <f>Africa_Car_Sales[[#This Row],[Cost Price ($)]]*Africa_Car_Sales[[#This Row],[Units Sold]]</f>
        <v>144000</v>
      </c>
      <c r="M34" s="2">
        <v>64347</v>
      </c>
      <c r="N34" s="2">
        <v>62000</v>
      </c>
      <c r="O34" s="2">
        <f>Africa_Car_Sales[[#This Row],[Sale Price ($)]]*Africa_Car_Sales[[#This Row],[Units Sold]]</f>
        <v>193041</v>
      </c>
      <c r="P34" s="2">
        <f>Africa_Car_Sales[[#This Row],[Revenue($)]]-Africa_Car_Sales[[#This Row],[Total Cost Price ($)]]</f>
        <v>49041</v>
      </c>
      <c r="Q34" s="3">
        <f>Africa_Car_Sales[[#This Row],[Total Profit ($)]]/Africa_Car_Sales[[#This Row],[Revenue($)]]</f>
        <v>0.25404447759802323</v>
      </c>
      <c r="R34" s="10">
        <f>Africa_Car_Sales[[#This Row],[Sale Price ($)]]-Africa_Car_Sales[[#This Row],[Market Value ($)]]</f>
        <v>2347</v>
      </c>
      <c r="S34" s="5">
        <f>(Africa_Car_Sales[[#This Row],[Sale Price ($)]]-Africa_Car_Sales[[#This Row],[Market Value ($)]])/Africa_Car_Sales[[#This Row],[Market Value ($)]]</f>
        <v>3.7854838709677423E-2</v>
      </c>
      <c r="T34" t="s">
        <v>100</v>
      </c>
    </row>
    <row r="35" spans="1:20" x14ac:dyDescent="0.35">
      <c r="A35" t="s">
        <v>163</v>
      </c>
      <c r="B35" s="1" t="s">
        <v>164</v>
      </c>
      <c r="C35" t="s">
        <v>165</v>
      </c>
      <c r="D35" t="s">
        <v>17</v>
      </c>
      <c r="E35" t="s">
        <v>81</v>
      </c>
      <c r="F35">
        <v>2020</v>
      </c>
      <c r="G35" t="s">
        <v>27</v>
      </c>
      <c r="H35" t="s">
        <v>28</v>
      </c>
      <c r="I35" t="s">
        <v>166</v>
      </c>
      <c r="J35">
        <v>4</v>
      </c>
      <c r="K35" s="2">
        <v>65000</v>
      </c>
      <c r="L35" s="2">
        <f>Africa_Car_Sales[[#This Row],[Cost Price ($)]]*Africa_Car_Sales[[#This Row],[Units Sold]]</f>
        <v>260000</v>
      </c>
      <c r="M35" s="2">
        <v>81225</v>
      </c>
      <c r="N35" s="2">
        <v>85000</v>
      </c>
      <c r="O35" s="2">
        <f>Africa_Car_Sales[[#This Row],[Sale Price ($)]]*Africa_Car_Sales[[#This Row],[Units Sold]]</f>
        <v>324900</v>
      </c>
      <c r="P35" s="2">
        <f>Africa_Car_Sales[[#This Row],[Revenue($)]]-Africa_Car_Sales[[#This Row],[Total Cost Price ($)]]</f>
        <v>64900</v>
      </c>
      <c r="Q35" s="3">
        <f>Africa_Car_Sales[[#This Row],[Total Profit ($)]]/Africa_Car_Sales[[#This Row],[Revenue($)]]</f>
        <v>0.19975377039088951</v>
      </c>
      <c r="R35" s="10">
        <f>Africa_Car_Sales[[#This Row],[Sale Price ($)]]-Africa_Car_Sales[[#This Row],[Market Value ($)]]</f>
        <v>-3775</v>
      </c>
      <c r="S35" s="5">
        <f>(Africa_Car_Sales[[#This Row],[Sale Price ($)]]-Africa_Car_Sales[[#This Row],[Market Value ($)]])/Africa_Car_Sales[[#This Row],[Market Value ($)]]</f>
        <v>-4.4411764705882352E-2</v>
      </c>
      <c r="T35" t="s">
        <v>84</v>
      </c>
    </row>
    <row r="36" spans="1:20" x14ac:dyDescent="0.35">
      <c r="A36" t="s">
        <v>167</v>
      </c>
      <c r="B36" s="1" t="s">
        <v>168</v>
      </c>
      <c r="C36" t="s">
        <v>169</v>
      </c>
      <c r="D36" t="s">
        <v>17</v>
      </c>
      <c r="E36" t="s">
        <v>18</v>
      </c>
      <c r="F36">
        <v>2021</v>
      </c>
      <c r="G36" t="s">
        <v>19</v>
      </c>
      <c r="H36" t="s">
        <v>82</v>
      </c>
      <c r="I36" t="s">
        <v>83</v>
      </c>
      <c r="J36">
        <v>5</v>
      </c>
      <c r="K36" s="2">
        <v>30000</v>
      </c>
      <c r="L36" s="2">
        <f>Africa_Car_Sales[[#This Row],[Cost Price ($)]]*Africa_Car_Sales[[#This Row],[Units Sold]]</f>
        <v>150000</v>
      </c>
      <c r="M36" s="2">
        <v>39047</v>
      </c>
      <c r="N36" s="2">
        <v>40000</v>
      </c>
      <c r="O36" s="2">
        <f>Africa_Car_Sales[[#This Row],[Sale Price ($)]]*Africa_Car_Sales[[#This Row],[Units Sold]]</f>
        <v>195235</v>
      </c>
      <c r="P36" s="2">
        <f>Africa_Car_Sales[[#This Row],[Revenue($)]]-Africa_Car_Sales[[#This Row],[Total Cost Price ($)]]</f>
        <v>45235</v>
      </c>
      <c r="Q36" s="3">
        <f>Africa_Car_Sales[[#This Row],[Total Profit ($)]]/Africa_Car_Sales[[#This Row],[Revenue($)]]</f>
        <v>0.23169513663021488</v>
      </c>
      <c r="R36" s="10">
        <f>Africa_Car_Sales[[#This Row],[Sale Price ($)]]-Africa_Car_Sales[[#This Row],[Market Value ($)]]</f>
        <v>-953</v>
      </c>
      <c r="S36" s="5">
        <f>(Africa_Car_Sales[[#This Row],[Sale Price ($)]]-Africa_Car_Sales[[#This Row],[Market Value ($)]])/Africa_Car_Sales[[#This Row],[Market Value ($)]]</f>
        <v>-2.3824999999999999E-2</v>
      </c>
      <c r="T36" t="s">
        <v>22</v>
      </c>
    </row>
    <row r="37" spans="1:20" x14ac:dyDescent="0.35">
      <c r="A37" t="s">
        <v>170</v>
      </c>
      <c r="B37" s="1" t="s">
        <v>171</v>
      </c>
      <c r="C37" t="s">
        <v>172</v>
      </c>
      <c r="D37" t="s">
        <v>17</v>
      </c>
      <c r="E37" t="s">
        <v>34</v>
      </c>
      <c r="F37">
        <v>2020</v>
      </c>
      <c r="G37" t="s">
        <v>35</v>
      </c>
      <c r="H37" t="s">
        <v>62</v>
      </c>
      <c r="I37" t="s">
        <v>72</v>
      </c>
      <c r="J37">
        <v>4</v>
      </c>
      <c r="K37" s="2">
        <v>22000</v>
      </c>
      <c r="L37" s="2">
        <f>Africa_Car_Sales[[#This Row],[Cost Price ($)]]*Africa_Car_Sales[[#This Row],[Units Sold]]</f>
        <v>88000</v>
      </c>
      <c r="M37" s="2">
        <v>26246</v>
      </c>
      <c r="N37" s="2">
        <v>28000</v>
      </c>
      <c r="O37" s="2">
        <f>Africa_Car_Sales[[#This Row],[Sale Price ($)]]*Africa_Car_Sales[[#This Row],[Units Sold]]</f>
        <v>104984</v>
      </c>
      <c r="P37" s="2">
        <f>Africa_Car_Sales[[#This Row],[Revenue($)]]-Africa_Car_Sales[[#This Row],[Total Cost Price ($)]]</f>
        <v>16984</v>
      </c>
      <c r="Q37" s="3">
        <f>Africa_Car_Sales[[#This Row],[Total Profit ($)]]/Africa_Car_Sales[[#This Row],[Revenue($)]]</f>
        <v>0.16177703269069574</v>
      </c>
      <c r="R37" s="10">
        <f>Africa_Car_Sales[[#This Row],[Sale Price ($)]]-Africa_Car_Sales[[#This Row],[Market Value ($)]]</f>
        <v>-1754</v>
      </c>
      <c r="S37" s="5">
        <f>(Africa_Car_Sales[[#This Row],[Sale Price ($)]]-Africa_Car_Sales[[#This Row],[Market Value ($)]])/Africa_Car_Sales[[#This Row],[Market Value ($)]]</f>
        <v>-6.2642857142857139E-2</v>
      </c>
      <c r="T37" t="s">
        <v>38</v>
      </c>
    </row>
    <row r="38" spans="1:20" x14ac:dyDescent="0.35">
      <c r="A38" t="s">
        <v>173</v>
      </c>
      <c r="B38" s="1" t="s">
        <v>174</v>
      </c>
      <c r="C38" t="s">
        <v>175</v>
      </c>
      <c r="D38" t="s">
        <v>113</v>
      </c>
      <c r="E38" t="s">
        <v>176</v>
      </c>
      <c r="F38">
        <v>2024</v>
      </c>
      <c r="G38" t="s">
        <v>27</v>
      </c>
      <c r="H38" t="s">
        <v>62</v>
      </c>
      <c r="I38" t="s">
        <v>162</v>
      </c>
      <c r="J38">
        <v>5</v>
      </c>
      <c r="K38" s="2">
        <v>20000</v>
      </c>
      <c r="L38" s="2">
        <f>Africa_Car_Sales[[#This Row],[Cost Price ($)]]*Africa_Car_Sales[[#This Row],[Units Sold]]</f>
        <v>100000</v>
      </c>
      <c r="M38" s="2">
        <v>27714</v>
      </c>
      <c r="N38" s="2">
        <v>28000</v>
      </c>
      <c r="O38" s="2">
        <f>Africa_Car_Sales[[#This Row],[Sale Price ($)]]*Africa_Car_Sales[[#This Row],[Units Sold]]</f>
        <v>138570</v>
      </c>
      <c r="P38" s="2">
        <f>Africa_Car_Sales[[#This Row],[Revenue($)]]-Africa_Car_Sales[[#This Row],[Total Cost Price ($)]]</f>
        <v>38570</v>
      </c>
      <c r="Q38" s="3">
        <f>Africa_Car_Sales[[#This Row],[Total Profit ($)]]/Africa_Car_Sales[[#This Row],[Revenue($)]]</f>
        <v>0.27834307570181138</v>
      </c>
      <c r="R38" s="10">
        <f>Africa_Car_Sales[[#This Row],[Sale Price ($)]]-Africa_Car_Sales[[#This Row],[Market Value ($)]]</f>
        <v>-286</v>
      </c>
      <c r="S38" s="5">
        <f>(Africa_Car_Sales[[#This Row],[Sale Price ($)]]-Africa_Car_Sales[[#This Row],[Market Value ($)]])/Africa_Car_Sales[[#This Row],[Market Value ($)]]</f>
        <v>-1.0214285714285714E-2</v>
      </c>
      <c r="T38" t="s">
        <v>177</v>
      </c>
    </row>
    <row r="39" spans="1:20" x14ac:dyDescent="0.35">
      <c r="A39" t="s">
        <v>178</v>
      </c>
      <c r="B39" s="1" t="s">
        <v>179</v>
      </c>
      <c r="C39" t="s">
        <v>180</v>
      </c>
      <c r="D39" t="s">
        <v>113</v>
      </c>
      <c r="E39" t="s">
        <v>114</v>
      </c>
      <c r="F39">
        <v>2022</v>
      </c>
      <c r="G39" t="s">
        <v>35</v>
      </c>
      <c r="H39" t="s">
        <v>20</v>
      </c>
      <c r="I39" t="s">
        <v>99</v>
      </c>
      <c r="J39">
        <v>3</v>
      </c>
      <c r="K39" s="2">
        <v>14000</v>
      </c>
      <c r="L39" s="2">
        <f>Africa_Car_Sales[[#This Row],[Cost Price ($)]]*Africa_Car_Sales[[#This Row],[Units Sold]]</f>
        <v>42000</v>
      </c>
      <c r="M39" s="2">
        <v>21114</v>
      </c>
      <c r="N39" s="2">
        <v>20000</v>
      </c>
      <c r="O39" s="2">
        <f>Africa_Car_Sales[[#This Row],[Sale Price ($)]]*Africa_Car_Sales[[#This Row],[Units Sold]]</f>
        <v>63342</v>
      </c>
      <c r="P39" s="2">
        <f>Africa_Car_Sales[[#This Row],[Revenue($)]]-Africa_Car_Sales[[#This Row],[Total Cost Price ($)]]</f>
        <v>21342</v>
      </c>
      <c r="Q39" s="3">
        <f>Africa_Car_Sales[[#This Row],[Total Profit ($)]]/Africa_Car_Sales[[#This Row],[Revenue($)]]</f>
        <v>0.33693284076915792</v>
      </c>
      <c r="R39" s="10">
        <f>Africa_Car_Sales[[#This Row],[Sale Price ($)]]-Africa_Car_Sales[[#This Row],[Market Value ($)]]</f>
        <v>1114</v>
      </c>
      <c r="S39" s="5">
        <f>(Africa_Car_Sales[[#This Row],[Sale Price ($)]]-Africa_Car_Sales[[#This Row],[Market Value ($)]])/Africa_Car_Sales[[#This Row],[Market Value ($)]]</f>
        <v>5.57E-2</v>
      </c>
      <c r="T39" t="s">
        <v>116</v>
      </c>
    </row>
    <row r="40" spans="1:20" x14ac:dyDescent="0.35">
      <c r="A40" t="s">
        <v>181</v>
      </c>
      <c r="B40" s="1" t="s">
        <v>182</v>
      </c>
      <c r="C40" t="s">
        <v>183</v>
      </c>
      <c r="D40" t="s">
        <v>17</v>
      </c>
      <c r="E40" t="s">
        <v>26</v>
      </c>
      <c r="F40">
        <v>2023</v>
      </c>
      <c r="G40" t="s">
        <v>27</v>
      </c>
      <c r="H40" t="s">
        <v>82</v>
      </c>
      <c r="I40" t="s">
        <v>184</v>
      </c>
      <c r="J40">
        <v>4</v>
      </c>
      <c r="K40" s="2">
        <v>40000</v>
      </c>
      <c r="L40" s="2">
        <f>Africa_Car_Sales[[#This Row],[Cost Price ($)]]*Africa_Car_Sales[[#This Row],[Units Sold]]</f>
        <v>160000</v>
      </c>
      <c r="M40" s="2">
        <v>51338</v>
      </c>
      <c r="N40" s="2">
        <v>52000</v>
      </c>
      <c r="O40" s="2">
        <f>Africa_Car_Sales[[#This Row],[Sale Price ($)]]*Africa_Car_Sales[[#This Row],[Units Sold]]</f>
        <v>205352</v>
      </c>
      <c r="P40" s="2">
        <f>Africa_Car_Sales[[#This Row],[Revenue($)]]-Africa_Car_Sales[[#This Row],[Total Cost Price ($)]]</f>
        <v>45352</v>
      </c>
      <c r="Q40" s="3">
        <f>Africa_Car_Sales[[#This Row],[Total Profit ($)]]/Africa_Car_Sales[[#This Row],[Revenue($)]]</f>
        <v>0.22085005259262144</v>
      </c>
      <c r="R40" s="10">
        <f>Africa_Car_Sales[[#This Row],[Sale Price ($)]]-Africa_Car_Sales[[#This Row],[Market Value ($)]]</f>
        <v>-662</v>
      </c>
      <c r="S40" s="5">
        <f>(Africa_Car_Sales[[#This Row],[Sale Price ($)]]-Africa_Car_Sales[[#This Row],[Market Value ($)]])/Africa_Car_Sales[[#This Row],[Market Value ($)]]</f>
        <v>-1.2730769230769231E-2</v>
      </c>
      <c r="T40" t="s">
        <v>30</v>
      </c>
    </row>
    <row r="41" spans="1:20" x14ac:dyDescent="0.35">
      <c r="A41" t="s">
        <v>185</v>
      </c>
      <c r="B41" s="1" t="s">
        <v>186</v>
      </c>
      <c r="C41" t="s">
        <v>187</v>
      </c>
      <c r="D41" t="s">
        <v>17</v>
      </c>
      <c r="E41" t="s">
        <v>26</v>
      </c>
      <c r="F41">
        <v>2022</v>
      </c>
      <c r="G41" t="s">
        <v>27</v>
      </c>
      <c r="H41" t="s">
        <v>28</v>
      </c>
      <c r="I41" t="s">
        <v>94</v>
      </c>
      <c r="J41">
        <v>5</v>
      </c>
      <c r="K41" s="2">
        <v>40000</v>
      </c>
      <c r="L41" s="2">
        <f>Africa_Car_Sales[[#This Row],[Cost Price ($)]]*Africa_Car_Sales[[#This Row],[Units Sold]]</f>
        <v>200000</v>
      </c>
      <c r="M41" s="2">
        <v>51417</v>
      </c>
      <c r="N41" s="2">
        <v>52000</v>
      </c>
      <c r="O41" s="2">
        <f>Africa_Car_Sales[[#This Row],[Sale Price ($)]]*Africa_Car_Sales[[#This Row],[Units Sold]]</f>
        <v>257085</v>
      </c>
      <c r="P41" s="2">
        <f>Africa_Car_Sales[[#This Row],[Revenue($)]]-Africa_Car_Sales[[#This Row],[Total Cost Price ($)]]</f>
        <v>57085</v>
      </c>
      <c r="Q41" s="3">
        <f>Africa_Car_Sales[[#This Row],[Total Profit ($)]]/Africa_Car_Sales[[#This Row],[Revenue($)]]</f>
        <v>0.22204718283836086</v>
      </c>
      <c r="R41" s="10">
        <f>Africa_Car_Sales[[#This Row],[Sale Price ($)]]-Africa_Car_Sales[[#This Row],[Market Value ($)]]</f>
        <v>-583</v>
      </c>
      <c r="S41" s="5">
        <f>(Africa_Car_Sales[[#This Row],[Sale Price ($)]]-Africa_Car_Sales[[#This Row],[Market Value ($)]])/Africa_Car_Sales[[#This Row],[Market Value ($)]]</f>
        <v>-1.1211538461538462E-2</v>
      </c>
      <c r="T41" t="s">
        <v>30</v>
      </c>
    </row>
    <row r="42" spans="1:20" x14ac:dyDescent="0.35">
      <c r="A42" t="s">
        <v>188</v>
      </c>
      <c r="B42" s="1" t="s">
        <v>189</v>
      </c>
      <c r="C42" t="s">
        <v>190</v>
      </c>
      <c r="D42" t="s">
        <v>113</v>
      </c>
      <c r="E42" t="s">
        <v>191</v>
      </c>
      <c r="F42">
        <v>2020</v>
      </c>
      <c r="G42" t="s">
        <v>27</v>
      </c>
      <c r="H42" t="s">
        <v>62</v>
      </c>
      <c r="I42" t="s">
        <v>72</v>
      </c>
      <c r="J42">
        <v>1</v>
      </c>
      <c r="K42" s="2">
        <v>20000</v>
      </c>
      <c r="L42" s="2">
        <f>Africa_Car_Sales[[#This Row],[Cost Price ($)]]*Africa_Car_Sales[[#This Row],[Units Sold]]</f>
        <v>20000</v>
      </c>
      <c r="M42" s="2">
        <v>26520</v>
      </c>
      <c r="N42" s="2">
        <v>28000</v>
      </c>
      <c r="O42" s="2">
        <f>Africa_Car_Sales[[#This Row],[Sale Price ($)]]*Africa_Car_Sales[[#This Row],[Units Sold]]</f>
        <v>26520</v>
      </c>
      <c r="P42" s="2">
        <f>Africa_Car_Sales[[#This Row],[Revenue($)]]-Africa_Car_Sales[[#This Row],[Total Cost Price ($)]]</f>
        <v>6520</v>
      </c>
      <c r="Q42" s="3">
        <f>Africa_Car_Sales[[#This Row],[Total Profit ($)]]/Africa_Car_Sales[[#This Row],[Revenue($)]]</f>
        <v>0.2458521870286576</v>
      </c>
      <c r="R42" s="10">
        <f>Africa_Car_Sales[[#This Row],[Sale Price ($)]]-Africa_Car_Sales[[#This Row],[Market Value ($)]]</f>
        <v>-1480</v>
      </c>
      <c r="S42" s="5">
        <f>(Africa_Car_Sales[[#This Row],[Sale Price ($)]]-Africa_Car_Sales[[#This Row],[Market Value ($)]])/Africa_Car_Sales[[#This Row],[Market Value ($)]]</f>
        <v>-5.2857142857142859E-2</v>
      </c>
    </row>
    <row r="43" spans="1:20" x14ac:dyDescent="0.35">
      <c r="A43" t="s">
        <v>192</v>
      </c>
      <c r="B43" s="1" t="s">
        <v>193</v>
      </c>
      <c r="C43" t="s">
        <v>194</v>
      </c>
      <c r="D43" t="s">
        <v>17</v>
      </c>
      <c r="E43" t="s">
        <v>26</v>
      </c>
      <c r="F43">
        <v>2019</v>
      </c>
      <c r="G43" t="s">
        <v>27</v>
      </c>
      <c r="H43" t="s">
        <v>20</v>
      </c>
      <c r="I43" t="s">
        <v>99</v>
      </c>
      <c r="J43">
        <v>1</v>
      </c>
      <c r="K43" s="2">
        <v>40000</v>
      </c>
      <c r="L43" s="2">
        <f>Africa_Car_Sales[[#This Row],[Cost Price ($)]]*Africa_Car_Sales[[#This Row],[Units Sold]]</f>
        <v>40000</v>
      </c>
      <c r="M43" s="2">
        <v>49066</v>
      </c>
      <c r="N43" s="2">
        <v>52000</v>
      </c>
      <c r="O43" s="2">
        <f>Africa_Car_Sales[[#This Row],[Sale Price ($)]]*Africa_Car_Sales[[#This Row],[Units Sold]]</f>
        <v>49066</v>
      </c>
      <c r="P43" s="2">
        <f>Africa_Car_Sales[[#This Row],[Revenue($)]]-Africa_Car_Sales[[#This Row],[Total Cost Price ($)]]</f>
        <v>9066</v>
      </c>
      <c r="Q43" s="3">
        <f>Africa_Car_Sales[[#This Row],[Total Profit ($)]]/Africa_Car_Sales[[#This Row],[Revenue($)]]</f>
        <v>0.18477153222190518</v>
      </c>
      <c r="R43" s="10">
        <f>Africa_Car_Sales[[#This Row],[Sale Price ($)]]-Africa_Car_Sales[[#This Row],[Market Value ($)]]</f>
        <v>-2934</v>
      </c>
      <c r="S43" s="5">
        <f>(Africa_Car_Sales[[#This Row],[Sale Price ($)]]-Africa_Car_Sales[[#This Row],[Market Value ($)]])/Africa_Car_Sales[[#This Row],[Market Value ($)]]</f>
        <v>-5.6423076923076923E-2</v>
      </c>
      <c r="T43" t="s">
        <v>30</v>
      </c>
    </row>
    <row r="44" spans="1:20" x14ac:dyDescent="0.35">
      <c r="A44" t="s">
        <v>195</v>
      </c>
      <c r="B44" s="1" t="s">
        <v>196</v>
      </c>
      <c r="C44" t="s">
        <v>197</v>
      </c>
      <c r="D44" t="s">
        <v>17</v>
      </c>
      <c r="E44" t="s">
        <v>53</v>
      </c>
      <c r="F44">
        <v>2019</v>
      </c>
      <c r="G44" t="s">
        <v>35</v>
      </c>
      <c r="H44" t="s">
        <v>36</v>
      </c>
      <c r="I44" t="s">
        <v>123</v>
      </c>
      <c r="J44">
        <v>2</v>
      </c>
      <c r="K44" s="2">
        <v>70000</v>
      </c>
      <c r="L44" s="2">
        <f>Africa_Car_Sales[[#This Row],[Cost Price ($)]]*Africa_Car_Sales[[#This Row],[Units Sold]]</f>
        <v>140000</v>
      </c>
      <c r="M44" s="2">
        <v>94915</v>
      </c>
      <c r="N44" s="2">
        <v>95000</v>
      </c>
      <c r="O44" s="2">
        <f>Africa_Car_Sales[[#This Row],[Sale Price ($)]]*Africa_Car_Sales[[#This Row],[Units Sold]]</f>
        <v>189830</v>
      </c>
      <c r="P44" s="2">
        <f>Africa_Car_Sales[[#This Row],[Revenue($)]]-Africa_Car_Sales[[#This Row],[Total Cost Price ($)]]</f>
        <v>49830</v>
      </c>
      <c r="Q44" s="3">
        <f>Africa_Car_Sales[[#This Row],[Total Profit ($)]]/Africa_Car_Sales[[#This Row],[Revenue($)]]</f>
        <v>0.26249802454828003</v>
      </c>
      <c r="R44" s="10">
        <f>Africa_Car_Sales[[#This Row],[Sale Price ($)]]-Africa_Car_Sales[[#This Row],[Market Value ($)]]</f>
        <v>-85</v>
      </c>
      <c r="S44" s="5">
        <f>(Africa_Car_Sales[[#This Row],[Sale Price ($)]]-Africa_Car_Sales[[#This Row],[Market Value ($)]])/Africa_Car_Sales[[#This Row],[Market Value ($)]]</f>
        <v>-8.9473684210526316E-4</v>
      </c>
      <c r="T44" t="s">
        <v>55</v>
      </c>
    </row>
    <row r="45" spans="1:20" x14ac:dyDescent="0.35">
      <c r="A45" t="s">
        <v>198</v>
      </c>
      <c r="B45" s="1" t="s">
        <v>199</v>
      </c>
      <c r="C45" t="s">
        <v>200</v>
      </c>
      <c r="D45" t="s">
        <v>17</v>
      </c>
      <c r="E45" t="s">
        <v>34</v>
      </c>
      <c r="F45">
        <v>2021</v>
      </c>
      <c r="G45" t="s">
        <v>35</v>
      </c>
      <c r="H45" t="s">
        <v>62</v>
      </c>
      <c r="I45" t="s">
        <v>72</v>
      </c>
      <c r="J45">
        <v>1</v>
      </c>
      <c r="K45" s="2">
        <v>22000</v>
      </c>
      <c r="L45" s="2">
        <f>Africa_Car_Sales[[#This Row],[Cost Price ($)]]*Africa_Car_Sales[[#This Row],[Units Sold]]</f>
        <v>22000</v>
      </c>
      <c r="M45" s="2">
        <v>28257</v>
      </c>
      <c r="N45" s="2">
        <v>28000</v>
      </c>
      <c r="O45" s="2">
        <f>Africa_Car_Sales[[#This Row],[Sale Price ($)]]*Africa_Car_Sales[[#This Row],[Units Sold]]</f>
        <v>28257</v>
      </c>
      <c r="P45" s="2">
        <f>Africa_Car_Sales[[#This Row],[Revenue($)]]-Africa_Car_Sales[[#This Row],[Total Cost Price ($)]]</f>
        <v>6257</v>
      </c>
      <c r="Q45" s="3">
        <f>Africa_Car_Sales[[#This Row],[Total Profit ($)]]/Africa_Car_Sales[[#This Row],[Revenue($)]]</f>
        <v>0.22143185759280887</v>
      </c>
      <c r="R45" s="10">
        <f>Africa_Car_Sales[[#This Row],[Sale Price ($)]]-Africa_Car_Sales[[#This Row],[Market Value ($)]]</f>
        <v>257</v>
      </c>
      <c r="S45" s="5">
        <f>(Africa_Car_Sales[[#This Row],[Sale Price ($)]]-Africa_Car_Sales[[#This Row],[Market Value ($)]])/Africa_Car_Sales[[#This Row],[Market Value ($)]]</f>
        <v>9.1785714285714283E-3</v>
      </c>
      <c r="T45" t="s">
        <v>38</v>
      </c>
    </row>
    <row r="46" spans="1:20" x14ac:dyDescent="0.35">
      <c r="A46" t="s">
        <v>201</v>
      </c>
      <c r="B46" s="1" t="s">
        <v>202</v>
      </c>
      <c r="C46" t="s">
        <v>203</v>
      </c>
      <c r="D46" t="s">
        <v>47</v>
      </c>
      <c r="E46" t="s">
        <v>76</v>
      </c>
      <c r="F46">
        <v>2023</v>
      </c>
      <c r="G46" t="s">
        <v>35</v>
      </c>
      <c r="H46" t="s">
        <v>20</v>
      </c>
      <c r="I46" t="s">
        <v>137</v>
      </c>
      <c r="J46">
        <v>2</v>
      </c>
      <c r="K46" s="2">
        <v>15000</v>
      </c>
      <c r="L46" s="2">
        <f>Africa_Car_Sales[[#This Row],[Cost Price ($)]]*Africa_Car_Sales[[#This Row],[Units Sold]]</f>
        <v>30000</v>
      </c>
      <c r="M46" s="2">
        <v>21810</v>
      </c>
      <c r="N46" s="2">
        <v>22000</v>
      </c>
      <c r="O46" s="2">
        <f>Africa_Car_Sales[[#This Row],[Sale Price ($)]]*Africa_Car_Sales[[#This Row],[Units Sold]]</f>
        <v>43620</v>
      </c>
      <c r="P46" s="2">
        <f>Africa_Car_Sales[[#This Row],[Revenue($)]]-Africa_Car_Sales[[#This Row],[Total Cost Price ($)]]</f>
        <v>13620</v>
      </c>
      <c r="Q46" s="3">
        <f>Africa_Car_Sales[[#This Row],[Total Profit ($)]]/Africa_Car_Sales[[#This Row],[Revenue($)]]</f>
        <v>0.31224209078404402</v>
      </c>
      <c r="R46" s="10">
        <f>Africa_Car_Sales[[#This Row],[Sale Price ($)]]-Africa_Car_Sales[[#This Row],[Market Value ($)]]</f>
        <v>-190</v>
      </c>
      <c r="S46" s="5">
        <f>(Africa_Car_Sales[[#This Row],[Sale Price ($)]]-Africa_Car_Sales[[#This Row],[Market Value ($)]])/Africa_Car_Sales[[#This Row],[Market Value ($)]]</f>
        <v>-8.6363636363636365E-3</v>
      </c>
      <c r="T46" t="s">
        <v>77</v>
      </c>
    </row>
    <row r="47" spans="1:20" x14ac:dyDescent="0.35">
      <c r="A47" t="s">
        <v>204</v>
      </c>
      <c r="B47" s="1" t="s">
        <v>205</v>
      </c>
      <c r="C47" t="s">
        <v>206</v>
      </c>
      <c r="D47" t="s">
        <v>113</v>
      </c>
      <c r="E47" t="s">
        <v>114</v>
      </c>
      <c r="F47">
        <v>2018</v>
      </c>
      <c r="G47" t="s">
        <v>35</v>
      </c>
      <c r="H47" t="s">
        <v>82</v>
      </c>
      <c r="I47" t="s">
        <v>184</v>
      </c>
      <c r="J47">
        <v>4</v>
      </c>
      <c r="K47" s="2">
        <v>14000</v>
      </c>
      <c r="L47" s="2">
        <f>Africa_Car_Sales[[#This Row],[Cost Price ($)]]*Africa_Car_Sales[[#This Row],[Units Sold]]</f>
        <v>56000</v>
      </c>
      <c r="M47" s="2">
        <v>19166</v>
      </c>
      <c r="N47" s="2">
        <v>20000</v>
      </c>
      <c r="O47" s="2">
        <f>Africa_Car_Sales[[#This Row],[Sale Price ($)]]*Africa_Car_Sales[[#This Row],[Units Sold]]</f>
        <v>76664</v>
      </c>
      <c r="P47" s="2">
        <f>Africa_Car_Sales[[#This Row],[Revenue($)]]-Africa_Car_Sales[[#This Row],[Total Cost Price ($)]]</f>
        <v>20664</v>
      </c>
      <c r="Q47" s="3">
        <f>Africa_Car_Sales[[#This Row],[Total Profit ($)]]/Africa_Car_Sales[[#This Row],[Revenue($)]]</f>
        <v>0.26953981008035061</v>
      </c>
      <c r="R47" s="10">
        <f>Africa_Car_Sales[[#This Row],[Sale Price ($)]]-Africa_Car_Sales[[#This Row],[Market Value ($)]]</f>
        <v>-834</v>
      </c>
      <c r="S47" s="5">
        <f>(Africa_Car_Sales[[#This Row],[Sale Price ($)]]-Africa_Car_Sales[[#This Row],[Market Value ($)]])/Africa_Car_Sales[[#This Row],[Market Value ($)]]</f>
        <v>-4.1700000000000001E-2</v>
      </c>
      <c r="T47" t="s">
        <v>116</v>
      </c>
    </row>
    <row r="48" spans="1:20" x14ac:dyDescent="0.35">
      <c r="A48" t="s">
        <v>207</v>
      </c>
      <c r="B48" s="1" t="s">
        <v>208</v>
      </c>
      <c r="C48" t="s">
        <v>209</v>
      </c>
      <c r="D48" t="s">
        <v>17</v>
      </c>
      <c r="E48" t="s">
        <v>26</v>
      </c>
      <c r="F48">
        <v>2023</v>
      </c>
      <c r="G48" t="s">
        <v>27</v>
      </c>
      <c r="H48" t="s">
        <v>36</v>
      </c>
      <c r="I48" t="s">
        <v>123</v>
      </c>
      <c r="J48">
        <v>2</v>
      </c>
      <c r="K48" s="2">
        <v>40000</v>
      </c>
      <c r="L48" s="2">
        <f>Africa_Car_Sales[[#This Row],[Cost Price ($)]]*Africa_Car_Sales[[#This Row],[Units Sold]]</f>
        <v>80000</v>
      </c>
      <c r="M48" s="2">
        <v>51027</v>
      </c>
      <c r="N48" s="2">
        <v>52000</v>
      </c>
      <c r="O48" s="2">
        <f>Africa_Car_Sales[[#This Row],[Sale Price ($)]]*Africa_Car_Sales[[#This Row],[Units Sold]]</f>
        <v>102054</v>
      </c>
      <c r="P48" s="2">
        <f>Africa_Car_Sales[[#This Row],[Revenue($)]]-Africa_Car_Sales[[#This Row],[Total Cost Price ($)]]</f>
        <v>22054</v>
      </c>
      <c r="Q48" s="3">
        <f>Africa_Car_Sales[[#This Row],[Total Profit ($)]]/Africa_Car_Sales[[#This Row],[Revenue($)]]</f>
        <v>0.21610127971466087</v>
      </c>
      <c r="R48" s="10">
        <f>Africa_Car_Sales[[#This Row],[Sale Price ($)]]-Africa_Car_Sales[[#This Row],[Market Value ($)]]</f>
        <v>-973</v>
      </c>
      <c r="S48" s="5">
        <f>(Africa_Car_Sales[[#This Row],[Sale Price ($)]]-Africa_Car_Sales[[#This Row],[Market Value ($)]])/Africa_Car_Sales[[#This Row],[Market Value ($)]]</f>
        <v>-1.871153846153846E-2</v>
      </c>
      <c r="T48" t="s">
        <v>30</v>
      </c>
    </row>
    <row r="49" spans="1:20" x14ac:dyDescent="0.35">
      <c r="A49" t="s">
        <v>210</v>
      </c>
      <c r="B49" s="1" t="s">
        <v>211</v>
      </c>
      <c r="C49" t="s">
        <v>212</v>
      </c>
      <c r="D49" t="s">
        <v>17</v>
      </c>
      <c r="E49" t="s">
        <v>53</v>
      </c>
      <c r="F49">
        <v>2023</v>
      </c>
      <c r="G49" t="s">
        <v>35</v>
      </c>
      <c r="H49" t="s">
        <v>67</v>
      </c>
      <c r="I49" t="s">
        <v>127</v>
      </c>
      <c r="J49">
        <v>5</v>
      </c>
      <c r="K49" s="2">
        <v>70000</v>
      </c>
      <c r="L49" s="2">
        <f>Africa_Car_Sales[[#This Row],[Cost Price ($)]]*Africa_Car_Sales[[#This Row],[Units Sold]]</f>
        <v>350000</v>
      </c>
      <c r="M49" s="2">
        <v>93320</v>
      </c>
      <c r="N49" s="2">
        <v>95000</v>
      </c>
      <c r="O49" s="2">
        <f>Africa_Car_Sales[[#This Row],[Sale Price ($)]]*Africa_Car_Sales[[#This Row],[Units Sold]]</f>
        <v>466600</v>
      </c>
      <c r="P49" s="2">
        <f>Africa_Car_Sales[[#This Row],[Revenue($)]]-Africa_Car_Sales[[#This Row],[Total Cost Price ($)]]</f>
        <v>116600</v>
      </c>
      <c r="Q49" s="3">
        <f>Africa_Car_Sales[[#This Row],[Total Profit ($)]]/Africa_Car_Sales[[#This Row],[Revenue($)]]</f>
        <v>0.2498928418345478</v>
      </c>
      <c r="R49" s="10">
        <f>Africa_Car_Sales[[#This Row],[Sale Price ($)]]-Africa_Car_Sales[[#This Row],[Market Value ($)]]</f>
        <v>-1680</v>
      </c>
      <c r="S49" s="5">
        <f>(Africa_Car_Sales[[#This Row],[Sale Price ($)]]-Africa_Car_Sales[[#This Row],[Market Value ($)]])/Africa_Car_Sales[[#This Row],[Market Value ($)]]</f>
        <v>-1.7684210526315788E-2</v>
      </c>
      <c r="T49" t="s">
        <v>55</v>
      </c>
    </row>
    <row r="50" spans="1:20" x14ac:dyDescent="0.35">
      <c r="A50" t="s">
        <v>213</v>
      </c>
      <c r="B50" s="1" t="s">
        <v>214</v>
      </c>
      <c r="C50" t="s">
        <v>215</v>
      </c>
      <c r="D50" t="s">
        <v>47</v>
      </c>
      <c r="E50" t="s">
        <v>76</v>
      </c>
      <c r="F50">
        <v>2024</v>
      </c>
      <c r="G50" t="s">
        <v>35</v>
      </c>
      <c r="H50" t="s">
        <v>82</v>
      </c>
      <c r="I50" t="s">
        <v>83</v>
      </c>
      <c r="J50">
        <v>5</v>
      </c>
      <c r="K50" s="2">
        <v>15000</v>
      </c>
      <c r="L50" s="2">
        <f>Africa_Car_Sales[[#This Row],[Cost Price ($)]]*Africa_Car_Sales[[#This Row],[Units Sold]]</f>
        <v>75000</v>
      </c>
      <c r="M50" s="2">
        <v>22871</v>
      </c>
      <c r="N50" s="2">
        <v>22000</v>
      </c>
      <c r="O50" s="2">
        <f>Africa_Car_Sales[[#This Row],[Sale Price ($)]]*Africa_Car_Sales[[#This Row],[Units Sold]]</f>
        <v>114355</v>
      </c>
      <c r="P50" s="2">
        <f>Africa_Car_Sales[[#This Row],[Revenue($)]]-Africa_Car_Sales[[#This Row],[Total Cost Price ($)]]</f>
        <v>39355</v>
      </c>
      <c r="Q50" s="3">
        <f>Africa_Car_Sales[[#This Row],[Total Profit ($)]]/Africa_Car_Sales[[#This Row],[Revenue($)]]</f>
        <v>0.34414761051112763</v>
      </c>
      <c r="R50" s="10">
        <f>Africa_Car_Sales[[#This Row],[Sale Price ($)]]-Africa_Car_Sales[[#This Row],[Market Value ($)]]</f>
        <v>871</v>
      </c>
      <c r="S50" s="5">
        <f>(Africa_Car_Sales[[#This Row],[Sale Price ($)]]-Africa_Car_Sales[[#This Row],[Market Value ($)]])/Africa_Car_Sales[[#This Row],[Market Value ($)]]</f>
        <v>3.9590909090909093E-2</v>
      </c>
      <c r="T50" t="s">
        <v>77</v>
      </c>
    </row>
    <row r="51" spans="1:20" x14ac:dyDescent="0.35">
      <c r="A51" t="s">
        <v>216</v>
      </c>
      <c r="B51" s="1" t="s">
        <v>217</v>
      </c>
      <c r="C51" t="s">
        <v>218</v>
      </c>
      <c r="D51" t="s">
        <v>113</v>
      </c>
      <c r="E51" t="s">
        <v>114</v>
      </c>
      <c r="F51">
        <v>2023</v>
      </c>
      <c r="G51" t="s">
        <v>35</v>
      </c>
      <c r="H51" t="s">
        <v>67</v>
      </c>
      <c r="I51" t="s">
        <v>68</v>
      </c>
      <c r="J51">
        <v>4</v>
      </c>
      <c r="K51" s="2">
        <v>14000</v>
      </c>
      <c r="L51" s="2">
        <f>Africa_Car_Sales[[#This Row],[Cost Price ($)]]*Africa_Car_Sales[[#This Row],[Units Sold]]</f>
        <v>56000</v>
      </c>
      <c r="M51" s="2">
        <v>20573</v>
      </c>
      <c r="N51" s="2">
        <v>20000</v>
      </c>
      <c r="O51" s="2">
        <f>Africa_Car_Sales[[#This Row],[Sale Price ($)]]*Africa_Car_Sales[[#This Row],[Units Sold]]</f>
        <v>82292</v>
      </c>
      <c r="P51" s="2">
        <f>Africa_Car_Sales[[#This Row],[Revenue($)]]-Africa_Car_Sales[[#This Row],[Total Cost Price ($)]]</f>
        <v>26292</v>
      </c>
      <c r="Q51" s="3">
        <f>Africa_Car_Sales[[#This Row],[Total Profit ($)]]/Africa_Car_Sales[[#This Row],[Revenue($)]]</f>
        <v>0.31949642735624362</v>
      </c>
      <c r="R51" s="10">
        <f>Africa_Car_Sales[[#This Row],[Sale Price ($)]]-Africa_Car_Sales[[#This Row],[Market Value ($)]]</f>
        <v>573</v>
      </c>
      <c r="S51" s="5">
        <f>(Africa_Car_Sales[[#This Row],[Sale Price ($)]]-Africa_Car_Sales[[#This Row],[Market Value ($)]])/Africa_Car_Sales[[#This Row],[Market Value ($)]]</f>
        <v>2.8649999999999998E-2</v>
      </c>
      <c r="T51" t="s">
        <v>116</v>
      </c>
    </row>
    <row r="52" spans="1:20" x14ac:dyDescent="0.35">
      <c r="A52" t="s">
        <v>219</v>
      </c>
      <c r="B52" s="1" t="s">
        <v>220</v>
      </c>
      <c r="C52" t="s">
        <v>221</v>
      </c>
      <c r="D52" t="s">
        <v>113</v>
      </c>
      <c r="E52" t="s">
        <v>114</v>
      </c>
      <c r="F52">
        <v>2019</v>
      </c>
      <c r="G52" t="s">
        <v>35</v>
      </c>
      <c r="H52" t="s">
        <v>36</v>
      </c>
      <c r="I52" t="s">
        <v>89</v>
      </c>
      <c r="J52">
        <v>4</v>
      </c>
      <c r="K52" s="2">
        <v>14000</v>
      </c>
      <c r="L52" s="2">
        <f>Africa_Car_Sales[[#This Row],[Cost Price ($)]]*Africa_Car_Sales[[#This Row],[Units Sold]]</f>
        <v>56000</v>
      </c>
      <c r="M52" s="2">
        <v>250000</v>
      </c>
      <c r="N52" s="2">
        <v>20000</v>
      </c>
      <c r="O52" s="2">
        <f>Africa_Car_Sales[[#This Row],[Sale Price ($)]]*Africa_Car_Sales[[#This Row],[Units Sold]]</f>
        <v>1000000</v>
      </c>
      <c r="P52" s="2">
        <f>Africa_Car_Sales[[#This Row],[Revenue($)]]-Africa_Car_Sales[[#This Row],[Total Cost Price ($)]]</f>
        <v>944000</v>
      </c>
      <c r="Q52" s="3">
        <f>Africa_Car_Sales[[#This Row],[Total Profit ($)]]/Africa_Car_Sales[[#This Row],[Revenue($)]]</f>
        <v>0.94399999999999995</v>
      </c>
      <c r="R52" s="10">
        <f>Africa_Car_Sales[[#This Row],[Sale Price ($)]]-Africa_Car_Sales[[#This Row],[Market Value ($)]]</f>
        <v>230000</v>
      </c>
      <c r="S52" s="5">
        <f>(Africa_Car_Sales[[#This Row],[Sale Price ($)]]-Africa_Car_Sales[[#This Row],[Market Value ($)]])/Africa_Car_Sales[[#This Row],[Market Value ($)]]</f>
        <v>11.5</v>
      </c>
      <c r="T52" t="s">
        <v>116</v>
      </c>
    </row>
    <row r="53" spans="1:20" x14ac:dyDescent="0.35">
      <c r="A53" t="s">
        <v>222</v>
      </c>
      <c r="B53" s="1" t="s">
        <v>223</v>
      </c>
      <c r="C53" t="s">
        <v>224</v>
      </c>
      <c r="D53" t="s">
        <v>17</v>
      </c>
      <c r="E53" t="s">
        <v>18</v>
      </c>
      <c r="F53">
        <v>2020</v>
      </c>
      <c r="G53" t="s">
        <v>19</v>
      </c>
      <c r="H53" t="s">
        <v>82</v>
      </c>
      <c r="I53" t="s">
        <v>83</v>
      </c>
      <c r="J53">
        <v>4</v>
      </c>
      <c r="K53" s="2">
        <v>30000</v>
      </c>
      <c r="L53" s="2">
        <f>Africa_Car_Sales[[#This Row],[Cost Price ($)]]*Africa_Car_Sales[[#This Row],[Units Sold]]</f>
        <v>120000</v>
      </c>
      <c r="M53" s="2">
        <v>41613</v>
      </c>
      <c r="N53" s="2">
        <v>40000</v>
      </c>
      <c r="O53" s="2">
        <f>Africa_Car_Sales[[#This Row],[Sale Price ($)]]*Africa_Car_Sales[[#This Row],[Units Sold]]</f>
        <v>166452</v>
      </c>
      <c r="P53" s="2">
        <f>Africa_Car_Sales[[#This Row],[Revenue($)]]-Africa_Car_Sales[[#This Row],[Total Cost Price ($)]]</f>
        <v>46452</v>
      </c>
      <c r="Q53" s="3">
        <f>Africa_Car_Sales[[#This Row],[Total Profit ($)]]/Africa_Car_Sales[[#This Row],[Revenue($)]]</f>
        <v>0.27907144401989764</v>
      </c>
      <c r="R53" s="10">
        <f>Africa_Car_Sales[[#This Row],[Sale Price ($)]]-Africa_Car_Sales[[#This Row],[Market Value ($)]]</f>
        <v>1613</v>
      </c>
      <c r="S53" s="5">
        <f>(Africa_Car_Sales[[#This Row],[Sale Price ($)]]-Africa_Car_Sales[[#This Row],[Market Value ($)]])/Africa_Car_Sales[[#This Row],[Market Value ($)]]</f>
        <v>4.0325E-2</v>
      </c>
      <c r="T53" t="s">
        <v>22</v>
      </c>
    </row>
    <row r="54" spans="1:20" x14ac:dyDescent="0.35">
      <c r="A54" t="s">
        <v>225</v>
      </c>
      <c r="B54" s="1" t="s">
        <v>226</v>
      </c>
      <c r="C54" t="s">
        <v>227</v>
      </c>
      <c r="D54" t="s">
        <v>113</v>
      </c>
      <c r="E54" t="s">
        <v>114</v>
      </c>
      <c r="F54">
        <v>2019</v>
      </c>
      <c r="G54" t="s">
        <v>35</v>
      </c>
      <c r="H54" t="s">
        <v>62</v>
      </c>
      <c r="I54" t="s">
        <v>72</v>
      </c>
      <c r="J54">
        <v>1</v>
      </c>
      <c r="K54" s="2">
        <v>14000</v>
      </c>
      <c r="L54" s="2">
        <f>Africa_Car_Sales[[#This Row],[Cost Price ($)]]*Africa_Car_Sales[[#This Row],[Units Sold]]</f>
        <v>14000</v>
      </c>
      <c r="M54" s="2">
        <v>18529</v>
      </c>
      <c r="N54" s="2">
        <v>20000</v>
      </c>
      <c r="O54" s="2">
        <f>Africa_Car_Sales[[#This Row],[Sale Price ($)]]*Africa_Car_Sales[[#This Row],[Units Sold]]</f>
        <v>18529</v>
      </c>
      <c r="P54" s="2">
        <f>Africa_Car_Sales[[#This Row],[Revenue($)]]-Africa_Car_Sales[[#This Row],[Total Cost Price ($)]]</f>
        <v>4529</v>
      </c>
      <c r="Q54" s="3">
        <f>Africa_Car_Sales[[#This Row],[Total Profit ($)]]/Africa_Car_Sales[[#This Row],[Revenue($)]]</f>
        <v>0.2444276539478655</v>
      </c>
      <c r="R54" s="10">
        <f>Africa_Car_Sales[[#This Row],[Sale Price ($)]]-Africa_Car_Sales[[#This Row],[Market Value ($)]]</f>
        <v>-1471</v>
      </c>
      <c r="S54" s="5">
        <f>(Africa_Car_Sales[[#This Row],[Sale Price ($)]]-Africa_Car_Sales[[#This Row],[Market Value ($)]])/Africa_Car_Sales[[#This Row],[Market Value ($)]]</f>
        <v>-7.3550000000000004E-2</v>
      </c>
      <c r="T54" t="s">
        <v>116</v>
      </c>
    </row>
    <row r="55" spans="1:20" x14ac:dyDescent="0.35">
      <c r="A55" t="s">
        <v>228</v>
      </c>
      <c r="B55" s="1" t="s">
        <v>229</v>
      </c>
      <c r="C55" t="s">
        <v>230</v>
      </c>
      <c r="D55" t="s">
        <v>17</v>
      </c>
      <c r="E55" t="s">
        <v>26</v>
      </c>
      <c r="F55">
        <v>2024</v>
      </c>
      <c r="G55" t="s">
        <v>27</v>
      </c>
      <c r="H55" t="s">
        <v>67</v>
      </c>
      <c r="I55" t="s">
        <v>115</v>
      </c>
      <c r="J55">
        <v>3</v>
      </c>
      <c r="K55" s="2">
        <v>40000</v>
      </c>
      <c r="L55" s="2">
        <f>Africa_Car_Sales[[#This Row],[Cost Price ($)]]*Africa_Car_Sales[[#This Row],[Units Sold]]</f>
        <v>120000</v>
      </c>
      <c r="M55" s="2">
        <v>51709</v>
      </c>
      <c r="N55" s="2">
        <v>52000</v>
      </c>
      <c r="O55" s="2">
        <f>Africa_Car_Sales[[#This Row],[Sale Price ($)]]*Africa_Car_Sales[[#This Row],[Units Sold]]</f>
        <v>155127</v>
      </c>
      <c r="P55" s="2">
        <f>Africa_Car_Sales[[#This Row],[Revenue($)]]-Africa_Car_Sales[[#This Row],[Total Cost Price ($)]]</f>
        <v>35127</v>
      </c>
      <c r="Q55" s="3">
        <f>Africa_Car_Sales[[#This Row],[Total Profit ($)]]/Africa_Car_Sales[[#This Row],[Revenue($)]]</f>
        <v>0.22644027151946469</v>
      </c>
      <c r="R55" s="10">
        <f>Africa_Car_Sales[[#This Row],[Sale Price ($)]]-Africa_Car_Sales[[#This Row],[Market Value ($)]]</f>
        <v>-291</v>
      </c>
      <c r="S55" s="5">
        <f>(Africa_Car_Sales[[#This Row],[Sale Price ($)]]-Africa_Car_Sales[[#This Row],[Market Value ($)]])/Africa_Car_Sales[[#This Row],[Market Value ($)]]</f>
        <v>-5.5961538461538462E-3</v>
      </c>
      <c r="T55" t="s">
        <v>30</v>
      </c>
    </row>
    <row r="56" spans="1:20" x14ac:dyDescent="0.35">
      <c r="A56" t="s">
        <v>231</v>
      </c>
      <c r="B56" s="1" t="s">
        <v>232</v>
      </c>
      <c r="C56" t="s">
        <v>233</v>
      </c>
      <c r="D56" t="s">
        <v>47</v>
      </c>
      <c r="E56" t="s">
        <v>48</v>
      </c>
      <c r="F56">
        <v>2021</v>
      </c>
      <c r="G56" t="s">
        <v>27</v>
      </c>
      <c r="H56" t="s">
        <v>28</v>
      </c>
      <c r="I56" t="s">
        <v>29</v>
      </c>
      <c r="J56">
        <v>4</v>
      </c>
      <c r="K56" s="2">
        <v>45000</v>
      </c>
      <c r="L56" s="2">
        <f>Africa_Car_Sales[[#This Row],[Cost Price ($)]]*Africa_Car_Sales[[#This Row],[Units Sold]]</f>
        <v>180000</v>
      </c>
      <c r="M56" s="2">
        <v>63759</v>
      </c>
      <c r="N56" s="2">
        <v>62000</v>
      </c>
      <c r="O56" s="2">
        <f>Africa_Car_Sales[[#This Row],[Sale Price ($)]]*Africa_Car_Sales[[#This Row],[Units Sold]]</f>
        <v>255036</v>
      </c>
      <c r="P56" s="2">
        <f>Africa_Car_Sales[[#This Row],[Revenue($)]]-Africa_Car_Sales[[#This Row],[Total Cost Price ($)]]</f>
        <v>75036</v>
      </c>
      <c r="Q56" s="3">
        <f>Africa_Car_Sales[[#This Row],[Total Profit ($)]]/Africa_Car_Sales[[#This Row],[Revenue($)]]</f>
        <v>0.2942172869712511</v>
      </c>
      <c r="R56" s="10">
        <f>Africa_Car_Sales[[#This Row],[Sale Price ($)]]-Africa_Car_Sales[[#This Row],[Market Value ($)]]</f>
        <v>1759</v>
      </c>
      <c r="S56" s="5">
        <f>(Africa_Car_Sales[[#This Row],[Sale Price ($)]]-Africa_Car_Sales[[#This Row],[Market Value ($)]])/Africa_Car_Sales[[#This Row],[Market Value ($)]]</f>
        <v>2.8370967741935482E-2</v>
      </c>
      <c r="T56" t="s">
        <v>49</v>
      </c>
    </row>
    <row r="57" spans="1:20" x14ac:dyDescent="0.35">
      <c r="A57" t="s">
        <v>234</v>
      </c>
      <c r="B57" s="1" t="s">
        <v>235</v>
      </c>
      <c r="C57" t="s">
        <v>236</v>
      </c>
      <c r="D57" t="s">
        <v>47</v>
      </c>
      <c r="E57" t="s">
        <v>48</v>
      </c>
      <c r="F57">
        <v>2022</v>
      </c>
      <c r="G57" t="s">
        <v>27</v>
      </c>
      <c r="H57" t="s">
        <v>82</v>
      </c>
      <c r="I57" t="s">
        <v>184</v>
      </c>
      <c r="J57">
        <v>3</v>
      </c>
      <c r="K57" s="2">
        <v>45000</v>
      </c>
      <c r="L57" s="2">
        <f>Africa_Car_Sales[[#This Row],[Cost Price ($)]]*Africa_Car_Sales[[#This Row],[Units Sold]]</f>
        <v>135000</v>
      </c>
      <c r="M57" s="2">
        <v>64804</v>
      </c>
      <c r="N57" s="2">
        <v>62000</v>
      </c>
      <c r="O57" s="2">
        <f>Africa_Car_Sales[[#This Row],[Sale Price ($)]]*Africa_Car_Sales[[#This Row],[Units Sold]]</f>
        <v>194412</v>
      </c>
      <c r="P57" s="2">
        <f>Africa_Car_Sales[[#This Row],[Revenue($)]]-Africa_Car_Sales[[#This Row],[Total Cost Price ($)]]</f>
        <v>59412</v>
      </c>
      <c r="Q57" s="3">
        <f>Africa_Car_Sales[[#This Row],[Total Profit ($)]]/Africa_Car_Sales[[#This Row],[Revenue($)]]</f>
        <v>0.30559841985062652</v>
      </c>
      <c r="R57" s="10">
        <f>Africa_Car_Sales[[#This Row],[Sale Price ($)]]-Africa_Car_Sales[[#This Row],[Market Value ($)]]</f>
        <v>2804</v>
      </c>
      <c r="S57" s="5">
        <f>(Africa_Car_Sales[[#This Row],[Sale Price ($)]]-Africa_Car_Sales[[#This Row],[Market Value ($)]])/Africa_Car_Sales[[#This Row],[Market Value ($)]]</f>
        <v>4.52258064516129E-2</v>
      </c>
      <c r="T57" t="s">
        <v>49</v>
      </c>
    </row>
    <row r="58" spans="1:20" x14ac:dyDescent="0.35">
      <c r="A58" t="s">
        <v>237</v>
      </c>
      <c r="B58" s="1" t="s">
        <v>238</v>
      </c>
      <c r="C58" t="s">
        <v>239</v>
      </c>
      <c r="D58" t="s">
        <v>17</v>
      </c>
      <c r="E58" t="s">
        <v>81</v>
      </c>
      <c r="F58">
        <v>2023</v>
      </c>
      <c r="G58" t="s">
        <v>27</v>
      </c>
      <c r="H58" t="s">
        <v>82</v>
      </c>
      <c r="I58" t="s">
        <v>240</v>
      </c>
      <c r="J58">
        <v>3</v>
      </c>
      <c r="K58" s="2">
        <v>65000</v>
      </c>
      <c r="L58" s="2">
        <f>Africa_Car_Sales[[#This Row],[Cost Price ($)]]*Africa_Car_Sales[[#This Row],[Units Sold]]</f>
        <v>195000</v>
      </c>
      <c r="M58" s="2">
        <v>79635</v>
      </c>
      <c r="N58" s="2">
        <v>85000</v>
      </c>
      <c r="O58" s="2">
        <f>Africa_Car_Sales[[#This Row],[Sale Price ($)]]*Africa_Car_Sales[[#This Row],[Units Sold]]</f>
        <v>238905</v>
      </c>
      <c r="P58" s="2">
        <f>Africa_Car_Sales[[#This Row],[Revenue($)]]-Africa_Car_Sales[[#This Row],[Total Cost Price ($)]]</f>
        <v>43905</v>
      </c>
      <c r="Q58" s="3">
        <f>Africa_Car_Sales[[#This Row],[Total Profit ($)]]/Africa_Car_Sales[[#This Row],[Revenue($)]]</f>
        <v>0.18377597789916494</v>
      </c>
      <c r="R58" s="10">
        <f>Africa_Car_Sales[[#This Row],[Sale Price ($)]]-Africa_Car_Sales[[#This Row],[Market Value ($)]]</f>
        <v>-5365</v>
      </c>
      <c r="S58" s="5">
        <f>(Africa_Car_Sales[[#This Row],[Sale Price ($)]]-Africa_Car_Sales[[#This Row],[Market Value ($)]])/Africa_Car_Sales[[#This Row],[Market Value ($)]]</f>
        <v>-6.3117647058823528E-2</v>
      </c>
      <c r="T58" t="s">
        <v>84</v>
      </c>
    </row>
    <row r="59" spans="1:20" x14ac:dyDescent="0.35">
      <c r="A59" t="s">
        <v>241</v>
      </c>
      <c r="B59" s="1" t="s">
        <v>242</v>
      </c>
      <c r="C59" t="s">
        <v>243</v>
      </c>
      <c r="D59" t="s">
        <v>47</v>
      </c>
      <c r="E59" t="s">
        <v>76</v>
      </c>
      <c r="F59">
        <v>2021</v>
      </c>
      <c r="G59" t="s">
        <v>35</v>
      </c>
      <c r="H59" t="s">
        <v>36</v>
      </c>
      <c r="I59" t="s">
        <v>89</v>
      </c>
      <c r="J59">
        <v>4</v>
      </c>
      <c r="K59" s="2">
        <v>15000</v>
      </c>
      <c r="L59" s="2">
        <f>Africa_Car_Sales[[#This Row],[Cost Price ($)]]*Africa_Car_Sales[[#This Row],[Units Sold]]</f>
        <v>60000</v>
      </c>
      <c r="M59" s="2">
        <v>22967</v>
      </c>
      <c r="N59" s="2">
        <v>22000</v>
      </c>
      <c r="O59" s="2">
        <f>Africa_Car_Sales[[#This Row],[Sale Price ($)]]*Africa_Car_Sales[[#This Row],[Units Sold]]</f>
        <v>91868</v>
      </c>
      <c r="P59" s="2">
        <f>Africa_Car_Sales[[#This Row],[Revenue($)]]-Africa_Car_Sales[[#This Row],[Total Cost Price ($)]]</f>
        <v>31868</v>
      </c>
      <c r="Q59" s="3">
        <f>Africa_Car_Sales[[#This Row],[Total Profit ($)]]/Africa_Car_Sales[[#This Row],[Revenue($)]]</f>
        <v>0.3468890146732268</v>
      </c>
      <c r="R59" s="10">
        <f>Africa_Car_Sales[[#This Row],[Sale Price ($)]]-Africa_Car_Sales[[#This Row],[Market Value ($)]]</f>
        <v>967</v>
      </c>
      <c r="S59" s="5">
        <f>(Africa_Car_Sales[[#This Row],[Sale Price ($)]]-Africa_Car_Sales[[#This Row],[Market Value ($)]])/Africa_Car_Sales[[#This Row],[Market Value ($)]]</f>
        <v>4.3954545454545454E-2</v>
      </c>
      <c r="T59" t="s">
        <v>77</v>
      </c>
    </row>
    <row r="60" spans="1:20" x14ac:dyDescent="0.35">
      <c r="A60" t="s">
        <v>244</v>
      </c>
      <c r="B60" s="1" t="s">
        <v>245</v>
      </c>
      <c r="C60" t="s">
        <v>246</v>
      </c>
      <c r="D60" t="s">
        <v>17</v>
      </c>
      <c r="E60" t="s">
        <v>26</v>
      </c>
      <c r="F60">
        <v>2022</v>
      </c>
      <c r="G60" t="s">
        <v>27</v>
      </c>
      <c r="H60" t="s">
        <v>28</v>
      </c>
      <c r="I60" t="s">
        <v>94</v>
      </c>
      <c r="J60">
        <v>5</v>
      </c>
      <c r="K60" s="2">
        <v>40000</v>
      </c>
      <c r="L60" s="2">
        <f>Africa_Car_Sales[[#This Row],[Cost Price ($)]]*Africa_Car_Sales[[#This Row],[Units Sold]]</f>
        <v>200000</v>
      </c>
      <c r="M60" s="2">
        <v>54084</v>
      </c>
      <c r="N60" s="2">
        <v>52000</v>
      </c>
      <c r="O60" s="2">
        <f>Africa_Car_Sales[[#This Row],[Sale Price ($)]]*Africa_Car_Sales[[#This Row],[Units Sold]]</f>
        <v>270420</v>
      </c>
      <c r="P60" s="2">
        <f>Africa_Car_Sales[[#This Row],[Revenue($)]]-Africa_Car_Sales[[#This Row],[Total Cost Price ($)]]</f>
        <v>70420</v>
      </c>
      <c r="Q60" s="3">
        <f>Africa_Car_Sales[[#This Row],[Total Profit ($)]]/Africa_Car_Sales[[#This Row],[Revenue($)]]</f>
        <v>0.26040973300791359</v>
      </c>
      <c r="R60" s="10">
        <f>Africa_Car_Sales[[#This Row],[Sale Price ($)]]-Africa_Car_Sales[[#This Row],[Market Value ($)]]</f>
        <v>2084</v>
      </c>
      <c r="S60" s="5">
        <f>(Africa_Car_Sales[[#This Row],[Sale Price ($)]]-Africa_Car_Sales[[#This Row],[Market Value ($)]])/Africa_Car_Sales[[#This Row],[Market Value ($)]]</f>
        <v>4.0076923076923079E-2</v>
      </c>
      <c r="T60" t="s">
        <v>30</v>
      </c>
    </row>
    <row r="61" spans="1:20" x14ac:dyDescent="0.35">
      <c r="A61" t="s">
        <v>247</v>
      </c>
      <c r="B61" s="1" t="s">
        <v>248</v>
      </c>
      <c r="C61" t="s">
        <v>249</v>
      </c>
      <c r="D61" t="s">
        <v>17</v>
      </c>
      <c r="E61" t="s">
        <v>88</v>
      </c>
      <c r="F61">
        <v>2020</v>
      </c>
      <c r="G61" t="s">
        <v>35</v>
      </c>
      <c r="H61" t="s">
        <v>62</v>
      </c>
      <c r="I61" t="s">
        <v>162</v>
      </c>
      <c r="J61">
        <v>3</v>
      </c>
      <c r="K61" s="2">
        <v>18000</v>
      </c>
      <c r="L61" s="2">
        <f>Africa_Car_Sales[[#This Row],[Cost Price ($)]]*Africa_Car_Sales[[#This Row],[Units Sold]]</f>
        <v>54000</v>
      </c>
      <c r="M61" s="2">
        <v>25144</v>
      </c>
      <c r="N61" s="2">
        <v>24000</v>
      </c>
      <c r="O61" s="2">
        <f>Africa_Car_Sales[[#This Row],[Sale Price ($)]]*Africa_Car_Sales[[#This Row],[Units Sold]]</f>
        <v>75432</v>
      </c>
      <c r="P61" s="2">
        <f>Africa_Car_Sales[[#This Row],[Revenue($)]]-Africa_Car_Sales[[#This Row],[Total Cost Price ($)]]</f>
        <v>21432</v>
      </c>
      <c r="Q61" s="3">
        <f>Africa_Car_Sales[[#This Row],[Total Profit ($)]]/Africa_Car_Sales[[#This Row],[Revenue($)]]</f>
        <v>0.28412344893413938</v>
      </c>
      <c r="R61" s="10">
        <f>Africa_Car_Sales[[#This Row],[Sale Price ($)]]-Africa_Car_Sales[[#This Row],[Market Value ($)]]</f>
        <v>1144</v>
      </c>
      <c r="S61" s="5">
        <f>(Africa_Car_Sales[[#This Row],[Sale Price ($)]]-Africa_Car_Sales[[#This Row],[Market Value ($)]])/Africa_Car_Sales[[#This Row],[Market Value ($)]]</f>
        <v>4.766666666666667E-2</v>
      </c>
      <c r="T61" t="s">
        <v>90</v>
      </c>
    </row>
    <row r="62" spans="1:20" x14ac:dyDescent="0.35">
      <c r="A62" t="s">
        <v>250</v>
      </c>
      <c r="B62" s="1" t="s">
        <v>251</v>
      </c>
      <c r="C62" t="s">
        <v>252</v>
      </c>
      <c r="D62" t="s">
        <v>17</v>
      </c>
      <c r="E62" t="s">
        <v>81</v>
      </c>
      <c r="F62">
        <v>2023</v>
      </c>
      <c r="G62" t="s">
        <v>27</v>
      </c>
      <c r="H62" t="s">
        <v>62</v>
      </c>
      <c r="I62" t="s">
        <v>72</v>
      </c>
      <c r="J62">
        <v>2</v>
      </c>
      <c r="K62" s="2">
        <v>65000</v>
      </c>
      <c r="L62" s="2">
        <f>Africa_Car_Sales[[#This Row],[Cost Price ($)]]*Africa_Car_Sales[[#This Row],[Units Sold]]</f>
        <v>130000</v>
      </c>
      <c r="M62" s="2">
        <v>85750</v>
      </c>
      <c r="N62" s="2">
        <v>85000</v>
      </c>
      <c r="O62" s="2">
        <f>Africa_Car_Sales[[#This Row],[Sale Price ($)]]*Africa_Car_Sales[[#This Row],[Units Sold]]</f>
        <v>171500</v>
      </c>
      <c r="P62" s="2">
        <f>Africa_Car_Sales[[#This Row],[Revenue($)]]-Africa_Car_Sales[[#This Row],[Total Cost Price ($)]]</f>
        <v>41500</v>
      </c>
      <c r="Q62" s="3">
        <f>Africa_Car_Sales[[#This Row],[Total Profit ($)]]/Africa_Car_Sales[[#This Row],[Revenue($)]]</f>
        <v>0.24198250728862974</v>
      </c>
      <c r="R62" s="10">
        <f>Africa_Car_Sales[[#This Row],[Sale Price ($)]]-Africa_Car_Sales[[#This Row],[Market Value ($)]]</f>
        <v>750</v>
      </c>
      <c r="S62" s="5">
        <f>(Africa_Car_Sales[[#This Row],[Sale Price ($)]]-Africa_Car_Sales[[#This Row],[Market Value ($)]])/Africa_Car_Sales[[#This Row],[Market Value ($)]]</f>
        <v>8.8235294117647058E-3</v>
      </c>
      <c r="T62" t="s">
        <v>84</v>
      </c>
    </row>
    <row r="63" spans="1:20" x14ac:dyDescent="0.35">
      <c r="A63" t="s">
        <v>253</v>
      </c>
      <c r="B63" s="1" t="s">
        <v>254</v>
      </c>
      <c r="C63" t="s">
        <v>255</v>
      </c>
      <c r="D63" t="s">
        <v>113</v>
      </c>
      <c r="E63" t="s">
        <v>176</v>
      </c>
      <c r="F63">
        <v>2020</v>
      </c>
      <c r="G63" t="s">
        <v>27</v>
      </c>
      <c r="H63" t="s">
        <v>82</v>
      </c>
      <c r="I63" t="s">
        <v>240</v>
      </c>
      <c r="J63">
        <v>5</v>
      </c>
      <c r="K63" s="2">
        <v>20000</v>
      </c>
      <c r="L63" s="2">
        <f>Africa_Car_Sales[[#This Row],[Cost Price ($)]]*Africa_Car_Sales[[#This Row],[Units Sold]]</f>
        <v>100000</v>
      </c>
      <c r="M63" s="2">
        <v>26850</v>
      </c>
      <c r="N63" s="2">
        <v>28000</v>
      </c>
      <c r="O63" s="2">
        <f>Africa_Car_Sales[[#This Row],[Sale Price ($)]]*Africa_Car_Sales[[#This Row],[Units Sold]]</f>
        <v>134250</v>
      </c>
      <c r="P63" s="2">
        <f>Africa_Car_Sales[[#This Row],[Revenue($)]]-Africa_Car_Sales[[#This Row],[Total Cost Price ($)]]</f>
        <v>34250</v>
      </c>
      <c r="Q63" s="3">
        <f>Africa_Car_Sales[[#This Row],[Total Profit ($)]]/Africa_Car_Sales[[#This Row],[Revenue($)]]</f>
        <v>0.25512104283054005</v>
      </c>
      <c r="R63" s="10">
        <f>Africa_Car_Sales[[#This Row],[Sale Price ($)]]-Africa_Car_Sales[[#This Row],[Market Value ($)]]</f>
        <v>-1150</v>
      </c>
      <c r="S63" s="5">
        <f>(Africa_Car_Sales[[#This Row],[Sale Price ($)]]-Africa_Car_Sales[[#This Row],[Market Value ($)]])/Africa_Car_Sales[[#This Row],[Market Value ($)]]</f>
        <v>-4.1071428571428571E-2</v>
      </c>
      <c r="T63" t="s">
        <v>177</v>
      </c>
    </row>
    <row r="64" spans="1:20" x14ac:dyDescent="0.35">
      <c r="A64" t="s">
        <v>256</v>
      </c>
      <c r="B64" s="1" t="s">
        <v>257</v>
      </c>
      <c r="C64" t="s">
        <v>258</v>
      </c>
      <c r="D64" t="s">
        <v>17</v>
      </c>
      <c r="E64" t="s">
        <v>81</v>
      </c>
      <c r="F64">
        <v>2019</v>
      </c>
      <c r="G64" t="s">
        <v>27</v>
      </c>
      <c r="H64" t="s">
        <v>36</v>
      </c>
      <c r="I64" t="s">
        <v>37</v>
      </c>
      <c r="J64">
        <v>3</v>
      </c>
      <c r="K64" s="2">
        <v>65000</v>
      </c>
      <c r="L64" s="2">
        <f>Africa_Car_Sales[[#This Row],[Cost Price ($)]]*Africa_Car_Sales[[#This Row],[Units Sold]]</f>
        <v>195000</v>
      </c>
      <c r="M64" s="2">
        <v>81884</v>
      </c>
      <c r="N64" s="2">
        <v>85000</v>
      </c>
      <c r="O64" s="2">
        <f>Africa_Car_Sales[[#This Row],[Sale Price ($)]]*Africa_Car_Sales[[#This Row],[Units Sold]]</f>
        <v>245652</v>
      </c>
      <c r="P64" s="2">
        <f>Africa_Car_Sales[[#This Row],[Revenue($)]]-Africa_Car_Sales[[#This Row],[Total Cost Price ($)]]</f>
        <v>50652</v>
      </c>
      <c r="Q64" s="3">
        <f>Africa_Car_Sales[[#This Row],[Total Profit ($)]]/Africa_Car_Sales[[#This Row],[Revenue($)]]</f>
        <v>0.20619412827902886</v>
      </c>
      <c r="R64" s="10">
        <f>Africa_Car_Sales[[#This Row],[Sale Price ($)]]-Africa_Car_Sales[[#This Row],[Market Value ($)]]</f>
        <v>-3116</v>
      </c>
      <c r="S64" s="5">
        <f>(Africa_Car_Sales[[#This Row],[Sale Price ($)]]-Africa_Car_Sales[[#This Row],[Market Value ($)]])/Africa_Car_Sales[[#This Row],[Market Value ($)]]</f>
        <v>-3.6658823529411765E-2</v>
      </c>
      <c r="T64" t="s">
        <v>84</v>
      </c>
    </row>
    <row r="65" spans="1:20" x14ac:dyDescent="0.35">
      <c r="A65" t="s">
        <v>259</v>
      </c>
      <c r="B65" s="1" t="s">
        <v>260</v>
      </c>
      <c r="C65" t="s">
        <v>261</v>
      </c>
      <c r="D65" t="s">
        <v>17</v>
      </c>
      <c r="E65" t="s">
        <v>26</v>
      </c>
      <c r="F65">
        <v>2023</v>
      </c>
      <c r="G65" t="s">
        <v>27</v>
      </c>
      <c r="H65" t="s">
        <v>36</v>
      </c>
      <c r="I65" t="s">
        <v>89</v>
      </c>
      <c r="J65">
        <v>3</v>
      </c>
      <c r="K65" s="2">
        <v>40000</v>
      </c>
      <c r="L65" s="2">
        <f>Africa_Car_Sales[[#This Row],[Cost Price ($)]]*Africa_Car_Sales[[#This Row],[Units Sold]]</f>
        <v>120000</v>
      </c>
      <c r="M65" s="2">
        <v>53985</v>
      </c>
      <c r="N65" s="2">
        <v>52000</v>
      </c>
      <c r="O65" s="2">
        <f>Africa_Car_Sales[[#This Row],[Sale Price ($)]]*Africa_Car_Sales[[#This Row],[Units Sold]]</f>
        <v>161955</v>
      </c>
      <c r="P65" s="2">
        <f>Africa_Car_Sales[[#This Row],[Revenue($)]]-Africa_Car_Sales[[#This Row],[Total Cost Price ($)]]</f>
        <v>41955</v>
      </c>
      <c r="Q65" s="3">
        <f>Africa_Car_Sales[[#This Row],[Total Profit ($)]]/Africa_Car_Sales[[#This Row],[Revenue($)]]</f>
        <v>0.2590534407705844</v>
      </c>
      <c r="R65" s="10">
        <f>Africa_Car_Sales[[#This Row],[Sale Price ($)]]-Africa_Car_Sales[[#This Row],[Market Value ($)]]</f>
        <v>1985</v>
      </c>
      <c r="S65" s="5">
        <f>(Africa_Car_Sales[[#This Row],[Sale Price ($)]]-Africa_Car_Sales[[#This Row],[Market Value ($)]])/Africa_Car_Sales[[#This Row],[Market Value ($)]]</f>
        <v>3.8173076923076921E-2</v>
      </c>
      <c r="T65" t="s">
        <v>30</v>
      </c>
    </row>
    <row r="66" spans="1:20" x14ac:dyDescent="0.35">
      <c r="A66" t="s">
        <v>262</v>
      </c>
      <c r="B66" s="1" t="s">
        <v>263</v>
      </c>
      <c r="C66" t="s">
        <v>264</v>
      </c>
      <c r="D66" t="s">
        <v>17</v>
      </c>
      <c r="E66" t="s">
        <v>98</v>
      </c>
      <c r="F66">
        <v>2019</v>
      </c>
      <c r="G66" t="s">
        <v>27</v>
      </c>
      <c r="H66" t="s">
        <v>82</v>
      </c>
      <c r="I66" t="s">
        <v>240</v>
      </c>
      <c r="J66">
        <v>5</v>
      </c>
      <c r="K66" s="2">
        <v>48000</v>
      </c>
      <c r="L66" s="2">
        <f>Africa_Car_Sales[[#This Row],[Cost Price ($)]]*Africa_Car_Sales[[#This Row],[Units Sold]]</f>
        <v>240000</v>
      </c>
      <c r="M66" s="2">
        <v>60038</v>
      </c>
      <c r="N66" s="2">
        <v>62000</v>
      </c>
      <c r="O66" s="2">
        <f>Africa_Car_Sales[[#This Row],[Sale Price ($)]]*Africa_Car_Sales[[#This Row],[Units Sold]]</f>
        <v>300190</v>
      </c>
      <c r="P66" s="2">
        <f>Africa_Car_Sales[[#This Row],[Revenue($)]]-Africa_Car_Sales[[#This Row],[Total Cost Price ($)]]</f>
        <v>60190</v>
      </c>
      <c r="Q66" s="3">
        <f>Africa_Car_Sales[[#This Row],[Total Profit ($)]]/Africa_Car_Sales[[#This Row],[Revenue($)]]</f>
        <v>0.20050634598087877</v>
      </c>
      <c r="R66" s="10">
        <f>Africa_Car_Sales[[#This Row],[Sale Price ($)]]-Africa_Car_Sales[[#This Row],[Market Value ($)]]</f>
        <v>-1962</v>
      </c>
      <c r="S66" s="5">
        <f>(Africa_Car_Sales[[#This Row],[Sale Price ($)]]-Africa_Car_Sales[[#This Row],[Market Value ($)]])/Africa_Car_Sales[[#This Row],[Market Value ($)]]</f>
        <v>-3.1645161290322583E-2</v>
      </c>
      <c r="T66" t="s">
        <v>100</v>
      </c>
    </row>
    <row r="67" spans="1:20" x14ac:dyDescent="0.35">
      <c r="A67" t="s">
        <v>265</v>
      </c>
      <c r="B67" s="1" t="s">
        <v>266</v>
      </c>
      <c r="C67" t="s">
        <v>267</v>
      </c>
      <c r="D67" t="s">
        <v>47</v>
      </c>
      <c r="E67" t="s">
        <v>48</v>
      </c>
      <c r="F67">
        <v>2021</v>
      </c>
      <c r="G67" t="s">
        <v>27</v>
      </c>
      <c r="H67" t="s">
        <v>67</v>
      </c>
      <c r="I67" t="s">
        <v>68</v>
      </c>
      <c r="J67">
        <v>4</v>
      </c>
      <c r="K67" s="2">
        <v>45000</v>
      </c>
      <c r="L67" s="2">
        <f>Africa_Car_Sales[[#This Row],[Cost Price ($)]]*Africa_Car_Sales[[#This Row],[Units Sold]]</f>
        <v>180000</v>
      </c>
      <c r="M67" s="2">
        <v>59861</v>
      </c>
      <c r="N67" s="2">
        <v>62000</v>
      </c>
      <c r="O67" s="2">
        <f>Africa_Car_Sales[[#This Row],[Sale Price ($)]]*Africa_Car_Sales[[#This Row],[Units Sold]]</f>
        <v>239444</v>
      </c>
      <c r="P67" s="2">
        <f>Africa_Car_Sales[[#This Row],[Revenue($)]]-Africa_Car_Sales[[#This Row],[Total Cost Price ($)]]</f>
        <v>59444</v>
      </c>
      <c r="Q67" s="3">
        <f>Africa_Car_Sales[[#This Row],[Total Profit ($)]]/Africa_Car_Sales[[#This Row],[Revenue($)]]</f>
        <v>0.24825846544494745</v>
      </c>
      <c r="R67" s="10">
        <f>Africa_Car_Sales[[#This Row],[Sale Price ($)]]-Africa_Car_Sales[[#This Row],[Market Value ($)]]</f>
        <v>-2139</v>
      </c>
      <c r="S67" s="5">
        <f>(Africa_Car_Sales[[#This Row],[Sale Price ($)]]-Africa_Car_Sales[[#This Row],[Market Value ($)]])/Africa_Car_Sales[[#This Row],[Market Value ($)]]</f>
        <v>-3.4500000000000003E-2</v>
      </c>
      <c r="T67" t="s">
        <v>49</v>
      </c>
    </row>
    <row r="68" spans="1:20" x14ac:dyDescent="0.35">
      <c r="A68" t="s">
        <v>268</v>
      </c>
      <c r="B68" s="1" t="s">
        <v>269</v>
      </c>
      <c r="C68" t="s">
        <v>270</v>
      </c>
      <c r="D68" t="s">
        <v>17</v>
      </c>
      <c r="E68" t="s">
        <v>42</v>
      </c>
      <c r="F68">
        <v>2019</v>
      </c>
      <c r="G68" t="s">
        <v>35</v>
      </c>
      <c r="H68" t="s">
        <v>28</v>
      </c>
      <c r="I68" t="s">
        <v>166</v>
      </c>
      <c r="J68">
        <v>1</v>
      </c>
      <c r="K68" s="2">
        <v>35000</v>
      </c>
      <c r="L68" s="2">
        <f>Africa_Car_Sales[[#This Row],[Cost Price ($)]]*Africa_Car_Sales[[#This Row],[Units Sold]]</f>
        <v>35000</v>
      </c>
      <c r="M68" s="2">
        <v>45555</v>
      </c>
      <c r="N68" s="2">
        <v>45000</v>
      </c>
      <c r="O68" s="2">
        <f>Africa_Car_Sales[[#This Row],[Sale Price ($)]]*Africa_Car_Sales[[#This Row],[Units Sold]]</f>
        <v>45555</v>
      </c>
      <c r="P68" s="2">
        <f>Africa_Car_Sales[[#This Row],[Revenue($)]]-Africa_Car_Sales[[#This Row],[Total Cost Price ($)]]</f>
        <v>10555</v>
      </c>
      <c r="Q68" s="3">
        <f>Africa_Car_Sales[[#This Row],[Total Profit ($)]]/Africa_Car_Sales[[#This Row],[Revenue($)]]</f>
        <v>0.23169794753594555</v>
      </c>
      <c r="R68" s="10">
        <f>Africa_Car_Sales[[#This Row],[Sale Price ($)]]-Africa_Car_Sales[[#This Row],[Market Value ($)]]</f>
        <v>555</v>
      </c>
      <c r="S68" s="5">
        <f>(Africa_Car_Sales[[#This Row],[Sale Price ($)]]-Africa_Car_Sales[[#This Row],[Market Value ($)]])/Africa_Car_Sales[[#This Row],[Market Value ($)]]</f>
        <v>1.2333333333333333E-2</v>
      </c>
      <c r="T68" t="s">
        <v>43</v>
      </c>
    </row>
    <row r="69" spans="1:20" x14ac:dyDescent="0.35">
      <c r="A69" t="s">
        <v>271</v>
      </c>
      <c r="B69" s="1" t="s">
        <v>272</v>
      </c>
      <c r="C69" t="s">
        <v>273</v>
      </c>
      <c r="D69" t="s">
        <v>47</v>
      </c>
      <c r="E69" t="s">
        <v>48</v>
      </c>
      <c r="F69">
        <v>2021</v>
      </c>
      <c r="G69" t="s">
        <v>27</v>
      </c>
      <c r="H69" t="s">
        <v>36</v>
      </c>
      <c r="I69" t="s">
        <v>37</v>
      </c>
      <c r="J69">
        <v>5</v>
      </c>
      <c r="K69" s="2">
        <v>45000</v>
      </c>
      <c r="L69" s="2">
        <f>Africa_Car_Sales[[#This Row],[Cost Price ($)]]*Africa_Car_Sales[[#This Row],[Units Sold]]</f>
        <v>225000</v>
      </c>
      <c r="M69" s="2">
        <v>59279</v>
      </c>
      <c r="N69" s="2">
        <v>62000</v>
      </c>
      <c r="O69" s="2">
        <f>Africa_Car_Sales[[#This Row],[Sale Price ($)]]*Africa_Car_Sales[[#This Row],[Units Sold]]</f>
        <v>296395</v>
      </c>
      <c r="P69" s="2">
        <f>Africa_Car_Sales[[#This Row],[Revenue($)]]-Africa_Car_Sales[[#This Row],[Total Cost Price ($)]]</f>
        <v>71395</v>
      </c>
      <c r="Q69" s="3">
        <f>Africa_Car_Sales[[#This Row],[Total Profit ($)]]/Africa_Car_Sales[[#This Row],[Revenue($)]]</f>
        <v>0.24087788255537373</v>
      </c>
      <c r="R69" s="10">
        <f>Africa_Car_Sales[[#This Row],[Sale Price ($)]]-Africa_Car_Sales[[#This Row],[Market Value ($)]]</f>
        <v>-2721</v>
      </c>
      <c r="S69" s="5">
        <f>(Africa_Car_Sales[[#This Row],[Sale Price ($)]]-Africa_Car_Sales[[#This Row],[Market Value ($)]])/Africa_Car_Sales[[#This Row],[Market Value ($)]]</f>
        <v>-4.388709677419355E-2</v>
      </c>
      <c r="T69" t="s">
        <v>49</v>
      </c>
    </row>
    <row r="70" spans="1:20" x14ac:dyDescent="0.35">
      <c r="A70" t="s">
        <v>274</v>
      </c>
      <c r="B70" s="1" t="s">
        <v>275</v>
      </c>
      <c r="C70" t="s">
        <v>158</v>
      </c>
      <c r="D70" t="s">
        <v>113</v>
      </c>
      <c r="E70" t="s">
        <v>176</v>
      </c>
      <c r="F70">
        <v>2023</v>
      </c>
      <c r="G70" t="s">
        <v>27</v>
      </c>
      <c r="H70" t="s">
        <v>36</v>
      </c>
      <c r="I70" t="s">
        <v>123</v>
      </c>
      <c r="J70">
        <v>2</v>
      </c>
      <c r="K70" s="2">
        <v>20000</v>
      </c>
      <c r="L70" s="2">
        <f>Africa_Car_Sales[[#This Row],[Cost Price ($)]]*Africa_Car_Sales[[#This Row],[Units Sold]]</f>
        <v>40000</v>
      </c>
      <c r="M70" s="2">
        <v>26205</v>
      </c>
      <c r="N70" s="2">
        <v>28000</v>
      </c>
      <c r="O70" s="2">
        <f>Africa_Car_Sales[[#This Row],[Sale Price ($)]]*Africa_Car_Sales[[#This Row],[Units Sold]]</f>
        <v>52410</v>
      </c>
      <c r="P70" s="2">
        <f>Africa_Car_Sales[[#This Row],[Revenue($)]]-Africa_Car_Sales[[#This Row],[Total Cost Price ($)]]</f>
        <v>12410</v>
      </c>
      <c r="Q70" s="3">
        <f>Africa_Car_Sales[[#This Row],[Total Profit ($)]]/Africa_Car_Sales[[#This Row],[Revenue($)]]</f>
        <v>0.23678687273421103</v>
      </c>
      <c r="R70" s="10">
        <f>Africa_Car_Sales[[#This Row],[Sale Price ($)]]-Africa_Car_Sales[[#This Row],[Market Value ($)]]</f>
        <v>-1795</v>
      </c>
      <c r="S70" s="5">
        <f>(Africa_Car_Sales[[#This Row],[Sale Price ($)]]-Africa_Car_Sales[[#This Row],[Market Value ($)]])/Africa_Car_Sales[[#This Row],[Market Value ($)]]</f>
        <v>-6.4107142857142863E-2</v>
      </c>
      <c r="T70" t="s">
        <v>177</v>
      </c>
    </row>
    <row r="71" spans="1:20" x14ac:dyDescent="0.35">
      <c r="A71" t="s">
        <v>276</v>
      </c>
      <c r="B71" s="1" t="s">
        <v>277</v>
      </c>
      <c r="C71" t="s">
        <v>278</v>
      </c>
      <c r="D71" t="s">
        <v>17</v>
      </c>
      <c r="E71" t="s">
        <v>53</v>
      </c>
      <c r="F71">
        <v>2021</v>
      </c>
      <c r="G71" t="s">
        <v>35</v>
      </c>
      <c r="H71" t="s">
        <v>36</v>
      </c>
      <c r="I71" t="s">
        <v>123</v>
      </c>
      <c r="J71">
        <v>5</v>
      </c>
      <c r="K71" s="2">
        <v>70000</v>
      </c>
      <c r="L71" s="2">
        <f>Africa_Car_Sales[[#This Row],[Cost Price ($)]]*Africa_Car_Sales[[#This Row],[Units Sold]]</f>
        <v>350000</v>
      </c>
      <c r="M71" s="2">
        <v>94248</v>
      </c>
      <c r="N71" s="2">
        <v>95000</v>
      </c>
      <c r="O71" s="2">
        <f>Africa_Car_Sales[[#This Row],[Sale Price ($)]]*Africa_Car_Sales[[#This Row],[Units Sold]]</f>
        <v>471240</v>
      </c>
      <c r="P71" s="2">
        <f>Africa_Car_Sales[[#This Row],[Revenue($)]]-Africa_Car_Sales[[#This Row],[Total Cost Price ($)]]</f>
        <v>121240</v>
      </c>
      <c r="Q71" s="3">
        <f>Africa_Car_Sales[[#This Row],[Total Profit ($)]]/Africa_Car_Sales[[#This Row],[Revenue($)]]</f>
        <v>0.25727866904337493</v>
      </c>
      <c r="R71" s="10">
        <f>Africa_Car_Sales[[#This Row],[Sale Price ($)]]-Africa_Car_Sales[[#This Row],[Market Value ($)]]</f>
        <v>-752</v>
      </c>
      <c r="S71" s="5">
        <f>(Africa_Car_Sales[[#This Row],[Sale Price ($)]]-Africa_Car_Sales[[#This Row],[Market Value ($)]])/Africa_Car_Sales[[#This Row],[Market Value ($)]]</f>
        <v>-7.9157894736842111E-3</v>
      </c>
      <c r="T71" t="s">
        <v>55</v>
      </c>
    </row>
    <row r="72" spans="1:20" x14ac:dyDescent="0.35">
      <c r="A72" t="s">
        <v>279</v>
      </c>
      <c r="B72" s="1" t="s">
        <v>280</v>
      </c>
      <c r="C72" t="s">
        <v>281</v>
      </c>
      <c r="D72" t="s">
        <v>17</v>
      </c>
      <c r="E72" t="s">
        <v>18</v>
      </c>
      <c r="F72">
        <v>2023</v>
      </c>
      <c r="G72" t="s">
        <v>19</v>
      </c>
      <c r="H72" t="s">
        <v>67</v>
      </c>
      <c r="I72" t="s">
        <v>68</v>
      </c>
      <c r="J72">
        <v>5</v>
      </c>
      <c r="K72" s="2">
        <v>30000</v>
      </c>
      <c r="L72" s="2">
        <f>Africa_Car_Sales[[#This Row],[Cost Price ($)]]*Africa_Car_Sales[[#This Row],[Units Sold]]</f>
        <v>150000</v>
      </c>
      <c r="M72" s="2">
        <v>41842</v>
      </c>
      <c r="N72" s="2">
        <v>40000</v>
      </c>
      <c r="O72" s="2">
        <f>Africa_Car_Sales[[#This Row],[Sale Price ($)]]*Africa_Car_Sales[[#This Row],[Units Sold]]</f>
        <v>209210</v>
      </c>
      <c r="P72" s="2">
        <f>Africa_Car_Sales[[#This Row],[Revenue($)]]-Africa_Car_Sales[[#This Row],[Total Cost Price ($)]]</f>
        <v>59210</v>
      </c>
      <c r="Q72" s="3">
        <f>Africa_Car_Sales[[#This Row],[Total Profit ($)]]/Africa_Car_Sales[[#This Row],[Revenue($)]]</f>
        <v>0.28301706419387218</v>
      </c>
      <c r="R72" s="10">
        <f>Africa_Car_Sales[[#This Row],[Sale Price ($)]]-Africa_Car_Sales[[#This Row],[Market Value ($)]]</f>
        <v>1842</v>
      </c>
      <c r="S72" s="5">
        <f>(Africa_Car_Sales[[#This Row],[Sale Price ($)]]-Africa_Car_Sales[[#This Row],[Market Value ($)]])/Africa_Car_Sales[[#This Row],[Market Value ($)]]</f>
        <v>4.6050000000000001E-2</v>
      </c>
      <c r="T72" t="s">
        <v>22</v>
      </c>
    </row>
    <row r="73" spans="1:20" x14ac:dyDescent="0.35">
      <c r="A73" t="s">
        <v>282</v>
      </c>
      <c r="B73" s="1" t="s">
        <v>283</v>
      </c>
      <c r="C73" t="s">
        <v>284</v>
      </c>
      <c r="D73" t="s">
        <v>17</v>
      </c>
      <c r="E73" t="s">
        <v>42</v>
      </c>
      <c r="F73">
        <v>2022</v>
      </c>
      <c r="G73" t="s">
        <v>35</v>
      </c>
      <c r="H73" t="s">
        <v>62</v>
      </c>
      <c r="I73" t="s">
        <v>162</v>
      </c>
      <c r="J73">
        <v>3</v>
      </c>
      <c r="K73" s="2">
        <v>35000</v>
      </c>
      <c r="L73" s="2">
        <f>Africa_Car_Sales[[#This Row],[Cost Price ($)]]*Africa_Car_Sales[[#This Row],[Units Sold]]</f>
        <v>105000</v>
      </c>
      <c r="M73" s="2">
        <v>41829</v>
      </c>
      <c r="N73" s="2">
        <v>45000</v>
      </c>
      <c r="O73" s="2">
        <f>Africa_Car_Sales[[#This Row],[Sale Price ($)]]*Africa_Car_Sales[[#This Row],[Units Sold]]</f>
        <v>125487</v>
      </c>
      <c r="P73" s="2">
        <f>Africa_Car_Sales[[#This Row],[Revenue($)]]-Africa_Car_Sales[[#This Row],[Total Cost Price ($)]]</f>
        <v>20487</v>
      </c>
      <c r="Q73" s="3">
        <f>Africa_Car_Sales[[#This Row],[Total Profit ($)]]/Africa_Car_Sales[[#This Row],[Revenue($)]]</f>
        <v>0.16325993927657845</v>
      </c>
      <c r="R73" s="10">
        <f>Africa_Car_Sales[[#This Row],[Sale Price ($)]]-Africa_Car_Sales[[#This Row],[Market Value ($)]]</f>
        <v>-3171</v>
      </c>
      <c r="S73" s="5">
        <f>(Africa_Car_Sales[[#This Row],[Sale Price ($)]]-Africa_Car_Sales[[#This Row],[Market Value ($)]])/Africa_Car_Sales[[#This Row],[Market Value ($)]]</f>
        <v>-7.0466666666666664E-2</v>
      </c>
      <c r="T73" t="s">
        <v>43</v>
      </c>
    </row>
    <row r="74" spans="1:20" x14ac:dyDescent="0.35">
      <c r="A74" t="s">
        <v>285</v>
      </c>
      <c r="B74" s="1" t="s">
        <v>286</v>
      </c>
      <c r="C74" t="s">
        <v>287</v>
      </c>
      <c r="D74" t="s">
        <v>17</v>
      </c>
      <c r="E74" t="s">
        <v>18</v>
      </c>
      <c r="F74">
        <v>2021</v>
      </c>
      <c r="G74" t="s">
        <v>19</v>
      </c>
      <c r="H74" t="s">
        <v>20</v>
      </c>
      <c r="I74" t="s">
        <v>99</v>
      </c>
      <c r="J74">
        <v>4</v>
      </c>
      <c r="K74" s="2">
        <v>30000</v>
      </c>
      <c r="L74" s="2">
        <f>Africa_Car_Sales[[#This Row],[Cost Price ($)]]*Africa_Car_Sales[[#This Row],[Units Sold]]</f>
        <v>120000</v>
      </c>
      <c r="M74" s="2">
        <v>40003</v>
      </c>
      <c r="N74" s="2">
        <v>40000</v>
      </c>
      <c r="O74" s="2">
        <f>Africa_Car_Sales[[#This Row],[Sale Price ($)]]*Africa_Car_Sales[[#This Row],[Units Sold]]</f>
        <v>160012</v>
      </c>
      <c r="P74" s="2">
        <f>Africa_Car_Sales[[#This Row],[Revenue($)]]-Africa_Car_Sales[[#This Row],[Total Cost Price ($)]]</f>
        <v>40012</v>
      </c>
      <c r="Q74" s="3">
        <f>Africa_Car_Sales[[#This Row],[Total Profit ($)]]/Africa_Car_Sales[[#This Row],[Revenue($)]]</f>
        <v>0.25005624578156638</v>
      </c>
      <c r="R74" s="10">
        <f>Africa_Car_Sales[[#This Row],[Sale Price ($)]]-Africa_Car_Sales[[#This Row],[Market Value ($)]]</f>
        <v>3</v>
      </c>
      <c r="S74" s="5">
        <f>(Africa_Car_Sales[[#This Row],[Sale Price ($)]]-Africa_Car_Sales[[#This Row],[Market Value ($)]])/Africa_Car_Sales[[#This Row],[Market Value ($)]]</f>
        <v>7.4999999999999993E-5</v>
      </c>
      <c r="T74" t="s">
        <v>22</v>
      </c>
    </row>
    <row r="75" spans="1:20" x14ac:dyDescent="0.35">
      <c r="A75" t="s">
        <v>288</v>
      </c>
      <c r="B75" s="1" t="s">
        <v>289</v>
      </c>
      <c r="C75" t="s">
        <v>290</v>
      </c>
      <c r="D75" t="s">
        <v>17</v>
      </c>
      <c r="E75" t="s">
        <v>26</v>
      </c>
      <c r="F75">
        <v>2022</v>
      </c>
      <c r="G75" t="s">
        <v>27</v>
      </c>
      <c r="H75" t="s">
        <v>82</v>
      </c>
      <c r="I75" t="s">
        <v>240</v>
      </c>
      <c r="J75">
        <v>5</v>
      </c>
      <c r="K75" s="2">
        <v>40000</v>
      </c>
      <c r="L75" s="2">
        <f>Africa_Car_Sales[[#This Row],[Cost Price ($)]]*Africa_Car_Sales[[#This Row],[Units Sold]]</f>
        <v>200000</v>
      </c>
      <c r="M75" s="2">
        <v>55843</v>
      </c>
      <c r="N75" s="2">
        <v>52000</v>
      </c>
      <c r="O75" s="2">
        <f>Africa_Car_Sales[[#This Row],[Sale Price ($)]]*Africa_Car_Sales[[#This Row],[Units Sold]]</f>
        <v>279215</v>
      </c>
      <c r="P75" s="2">
        <f>Africa_Car_Sales[[#This Row],[Revenue($)]]-Africa_Car_Sales[[#This Row],[Total Cost Price ($)]]</f>
        <v>79215</v>
      </c>
      <c r="Q75" s="3">
        <f>Africa_Car_Sales[[#This Row],[Total Profit ($)]]/Africa_Car_Sales[[#This Row],[Revenue($)]]</f>
        <v>0.2837061046147234</v>
      </c>
      <c r="R75" s="10">
        <f>Africa_Car_Sales[[#This Row],[Sale Price ($)]]-Africa_Car_Sales[[#This Row],[Market Value ($)]]</f>
        <v>3843</v>
      </c>
      <c r="S75" s="5">
        <f>(Africa_Car_Sales[[#This Row],[Sale Price ($)]]-Africa_Car_Sales[[#This Row],[Market Value ($)]])/Africa_Car_Sales[[#This Row],[Market Value ($)]]</f>
        <v>7.3903846153846153E-2</v>
      </c>
      <c r="T75" t="s">
        <v>30</v>
      </c>
    </row>
    <row r="76" spans="1:20" x14ac:dyDescent="0.35">
      <c r="A76" t="s">
        <v>291</v>
      </c>
      <c r="B76" s="1" t="s">
        <v>292</v>
      </c>
      <c r="C76" t="s">
        <v>293</v>
      </c>
      <c r="D76" t="s">
        <v>17</v>
      </c>
      <c r="E76" t="s">
        <v>18</v>
      </c>
      <c r="F76">
        <v>2021</v>
      </c>
      <c r="G76" t="s">
        <v>19</v>
      </c>
      <c r="H76" t="s">
        <v>36</v>
      </c>
      <c r="I76" t="s">
        <v>89</v>
      </c>
      <c r="J76">
        <v>5</v>
      </c>
      <c r="K76" s="2">
        <v>30000</v>
      </c>
      <c r="L76" s="2">
        <f>Africa_Car_Sales[[#This Row],[Cost Price ($)]]*Africa_Car_Sales[[#This Row],[Units Sold]]</f>
        <v>150000</v>
      </c>
      <c r="M76" s="2">
        <v>37962</v>
      </c>
      <c r="N76" s="2">
        <v>40000</v>
      </c>
      <c r="O76" s="2">
        <f>Africa_Car_Sales[[#This Row],[Sale Price ($)]]*Africa_Car_Sales[[#This Row],[Units Sold]]</f>
        <v>189810</v>
      </c>
      <c r="P76" s="2">
        <f>Africa_Car_Sales[[#This Row],[Revenue($)]]-Africa_Car_Sales[[#This Row],[Total Cost Price ($)]]</f>
        <v>39810</v>
      </c>
      <c r="Q76" s="3">
        <f>Africa_Car_Sales[[#This Row],[Total Profit ($)]]/Africa_Car_Sales[[#This Row],[Revenue($)]]</f>
        <v>0.209736051841315</v>
      </c>
      <c r="R76" s="10">
        <f>Africa_Car_Sales[[#This Row],[Sale Price ($)]]-Africa_Car_Sales[[#This Row],[Market Value ($)]]</f>
        <v>-2038</v>
      </c>
      <c r="S76" s="5">
        <f>(Africa_Car_Sales[[#This Row],[Sale Price ($)]]-Africa_Car_Sales[[#This Row],[Market Value ($)]])/Africa_Car_Sales[[#This Row],[Market Value ($)]]</f>
        <v>-5.0950000000000002E-2</v>
      </c>
      <c r="T76" t="s">
        <v>22</v>
      </c>
    </row>
    <row r="77" spans="1:20" x14ac:dyDescent="0.35">
      <c r="A77" t="s">
        <v>294</v>
      </c>
      <c r="B77" s="1" t="s">
        <v>295</v>
      </c>
      <c r="C77" t="s">
        <v>296</v>
      </c>
      <c r="D77" t="s">
        <v>17</v>
      </c>
      <c r="E77" t="s">
        <v>98</v>
      </c>
      <c r="F77">
        <v>2020</v>
      </c>
      <c r="G77" t="s">
        <v>27</v>
      </c>
      <c r="H77" t="s">
        <v>82</v>
      </c>
      <c r="I77" t="s">
        <v>83</v>
      </c>
      <c r="J77">
        <v>4</v>
      </c>
      <c r="K77" s="2">
        <v>48000</v>
      </c>
      <c r="L77" s="2">
        <f>Africa_Car_Sales[[#This Row],[Cost Price ($)]]*Africa_Car_Sales[[#This Row],[Units Sold]]</f>
        <v>192000</v>
      </c>
      <c r="M77" s="2">
        <v>60312</v>
      </c>
      <c r="N77" s="2">
        <v>62000</v>
      </c>
      <c r="O77" s="2">
        <f>Africa_Car_Sales[[#This Row],[Sale Price ($)]]*Africa_Car_Sales[[#This Row],[Units Sold]]</f>
        <v>241248</v>
      </c>
      <c r="P77" s="2">
        <f>Africa_Car_Sales[[#This Row],[Revenue($)]]-Africa_Car_Sales[[#This Row],[Total Cost Price ($)]]</f>
        <v>49248</v>
      </c>
      <c r="Q77" s="3">
        <f>Africa_Car_Sales[[#This Row],[Total Profit ($)]]/Africa_Car_Sales[[#This Row],[Revenue($)]]</f>
        <v>0.20413847990449663</v>
      </c>
      <c r="R77" s="10">
        <f>Africa_Car_Sales[[#This Row],[Sale Price ($)]]-Africa_Car_Sales[[#This Row],[Market Value ($)]]</f>
        <v>-1688</v>
      </c>
      <c r="S77" s="5">
        <f>(Africa_Car_Sales[[#This Row],[Sale Price ($)]]-Africa_Car_Sales[[#This Row],[Market Value ($)]])/Africa_Car_Sales[[#This Row],[Market Value ($)]]</f>
        <v>-2.7225806451612902E-2</v>
      </c>
      <c r="T77" t="s">
        <v>100</v>
      </c>
    </row>
    <row r="78" spans="1:20" x14ac:dyDescent="0.35">
      <c r="A78" t="s">
        <v>297</v>
      </c>
      <c r="B78" s="1" t="s">
        <v>298</v>
      </c>
      <c r="C78" t="s">
        <v>299</v>
      </c>
      <c r="D78" t="s">
        <v>17</v>
      </c>
      <c r="E78" t="s">
        <v>42</v>
      </c>
      <c r="F78">
        <v>2024</v>
      </c>
      <c r="G78" t="s">
        <v>35</v>
      </c>
      <c r="H78" t="s">
        <v>82</v>
      </c>
      <c r="I78" t="s">
        <v>83</v>
      </c>
      <c r="J78">
        <v>4</v>
      </c>
      <c r="K78" s="2">
        <v>35000</v>
      </c>
      <c r="L78" s="2">
        <f>Africa_Car_Sales[[#This Row],[Cost Price ($)]]*Africa_Car_Sales[[#This Row],[Units Sold]]</f>
        <v>140000</v>
      </c>
      <c r="M78" s="2">
        <v>48385</v>
      </c>
      <c r="N78" s="2">
        <v>45000</v>
      </c>
      <c r="O78" s="2">
        <f>Africa_Car_Sales[[#This Row],[Sale Price ($)]]*Africa_Car_Sales[[#This Row],[Units Sold]]</f>
        <v>193540</v>
      </c>
      <c r="P78" s="2">
        <f>Africa_Car_Sales[[#This Row],[Revenue($)]]-Africa_Car_Sales[[#This Row],[Total Cost Price ($)]]</f>
        <v>53540</v>
      </c>
      <c r="Q78" s="3">
        <f>Africa_Car_Sales[[#This Row],[Total Profit ($)]]/Africa_Car_Sales[[#This Row],[Revenue($)]]</f>
        <v>0.27663532086390408</v>
      </c>
      <c r="R78" s="10">
        <f>Africa_Car_Sales[[#This Row],[Sale Price ($)]]-Africa_Car_Sales[[#This Row],[Market Value ($)]]</f>
        <v>3385</v>
      </c>
      <c r="S78" s="5">
        <f>(Africa_Car_Sales[[#This Row],[Sale Price ($)]]-Africa_Car_Sales[[#This Row],[Market Value ($)]])/Africa_Car_Sales[[#This Row],[Market Value ($)]]</f>
        <v>7.5222222222222218E-2</v>
      </c>
      <c r="T78" t="s">
        <v>43</v>
      </c>
    </row>
    <row r="79" spans="1:20" x14ac:dyDescent="0.35">
      <c r="A79" t="s">
        <v>300</v>
      </c>
      <c r="B79" s="1" t="s">
        <v>301</v>
      </c>
      <c r="C79" t="s">
        <v>302</v>
      </c>
      <c r="D79" t="s">
        <v>47</v>
      </c>
      <c r="E79" t="s">
        <v>48</v>
      </c>
      <c r="F79">
        <v>2024</v>
      </c>
      <c r="G79" t="s">
        <v>27</v>
      </c>
      <c r="H79" t="s">
        <v>62</v>
      </c>
      <c r="I79" t="s">
        <v>72</v>
      </c>
      <c r="J79">
        <v>4</v>
      </c>
      <c r="K79" s="2">
        <v>45000</v>
      </c>
      <c r="L79" s="2">
        <f>Africa_Car_Sales[[#This Row],[Cost Price ($)]]*Africa_Car_Sales[[#This Row],[Units Sold]]</f>
        <v>180000</v>
      </c>
      <c r="M79" s="2">
        <v>64544</v>
      </c>
      <c r="N79" s="2">
        <v>62000</v>
      </c>
      <c r="O79" s="2">
        <f>Africa_Car_Sales[[#This Row],[Sale Price ($)]]*Africa_Car_Sales[[#This Row],[Units Sold]]</f>
        <v>258176</v>
      </c>
      <c r="P79" s="2">
        <f>Africa_Car_Sales[[#This Row],[Revenue($)]]-Africa_Car_Sales[[#This Row],[Total Cost Price ($)]]</f>
        <v>78176</v>
      </c>
      <c r="Q79" s="3">
        <f>Africa_Car_Sales[[#This Row],[Total Profit ($)]]/Africa_Car_Sales[[#This Row],[Revenue($)]]</f>
        <v>0.30280118988596927</v>
      </c>
      <c r="R79" s="10">
        <f>Africa_Car_Sales[[#This Row],[Sale Price ($)]]-Africa_Car_Sales[[#This Row],[Market Value ($)]]</f>
        <v>2544</v>
      </c>
      <c r="S79" s="5">
        <f>(Africa_Car_Sales[[#This Row],[Sale Price ($)]]-Africa_Car_Sales[[#This Row],[Market Value ($)]])/Africa_Car_Sales[[#This Row],[Market Value ($)]]</f>
        <v>4.1032258064516131E-2</v>
      </c>
      <c r="T79" t="s">
        <v>49</v>
      </c>
    </row>
    <row r="80" spans="1:20" x14ac:dyDescent="0.35">
      <c r="A80" t="s">
        <v>303</v>
      </c>
      <c r="B80" s="1" t="s">
        <v>304</v>
      </c>
      <c r="C80" t="s">
        <v>305</v>
      </c>
      <c r="D80" t="s">
        <v>113</v>
      </c>
      <c r="E80" t="s">
        <v>114</v>
      </c>
      <c r="F80">
        <v>2023</v>
      </c>
      <c r="G80" t="s">
        <v>35</v>
      </c>
      <c r="H80" t="s">
        <v>20</v>
      </c>
      <c r="I80" t="s">
        <v>99</v>
      </c>
      <c r="J80">
        <v>2</v>
      </c>
      <c r="K80" s="2">
        <v>14000</v>
      </c>
      <c r="L80" s="2">
        <f>Africa_Car_Sales[[#This Row],[Cost Price ($)]]*Africa_Car_Sales[[#This Row],[Units Sold]]</f>
        <v>28000</v>
      </c>
      <c r="M80" s="2">
        <v>20348</v>
      </c>
      <c r="N80" s="2">
        <v>20000</v>
      </c>
      <c r="O80" s="2">
        <f>Africa_Car_Sales[[#This Row],[Sale Price ($)]]*Africa_Car_Sales[[#This Row],[Units Sold]]</f>
        <v>40696</v>
      </c>
      <c r="P80" s="2">
        <f>Africa_Car_Sales[[#This Row],[Revenue($)]]-Africa_Car_Sales[[#This Row],[Total Cost Price ($)]]</f>
        <v>12696</v>
      </c>
      <c r="Q80" s="3">
        <f>Africa_Car_Sales[[#This Row],[Total Profit ($)]]/Africa_Car_Sales[[#This Row],[Revenue($)]]</f>
        <v>0.3119716925496363</v>
      </c>
      <c r="R80" s="10">
        <f>Africa_Car_Sales[[#This Row],[Sale Price ($)]]-Africa_Car_Sales[[#This Row],[Market Value ($)]]</f>
        <v>348</v>
      </c>
      <c r="S80" s="5">
        <f>(Africa_Car_Sales[[#This Row],[Sale Price ($)]]-Africa_Car_Sales[[#This Row],[Market Value ($)]])/Africa_Car_Sales[[#This Row],[Market Value ($)]]</f>
        <v>1.7399999999999999E-2</v>
      </c>
      <c r="T80" t="s">
        <v>116</v>
      </c>
    </row>
    <row r="81" spans="1:20" x14ac:dyDescent="0.35">
      <c r="A81" t="s">
        <v>306</v>
      </c>
      <c r="B81" s="1" t="s">
        <v>307</v>
      </c>
      <c r="C81" t="s">
        <v>308</v>
      </c>
      <c r="D81" t="s">
        <v>17</v>
      </c>
      <c r="E81" t="s">
        <v>42</v>
      </c>
      <c r="F81">
        <v>2021</v>
      </c>
      <c r="G81" t="s">
        <v>35</v>
      </c>
      <c r="H81" t="s">
        <v>62</v>
      </c>
      <c r="I81" t="s">
        <v>63</v>
      </c>
      <c r="J81">
        <v>2</v>
      </c>
      <c r="K81" s="2">
        <v>35000</v>
      </c>
      <c r="L81" s="2">
        <f>Africa_Car_Sales[[#This Row],[Cost Price ($)]]*Africa_Car_Sales[[#This Row],[Units Sold]]</f>
        <v>70000</v>
      </c>
      <c r="M81" s="2">
        <v>46064</v>
      </c>
      <c r="N81" s="2">
        <v>45000</v>
      </c>
      <c r="O81" s="2">
        <f>Africa_Car_Sales[[#This Row],[Sale Price ($)]]*Africa_Car_Sales[[#This Row],[Units Sold]]</f>
        <v>92128</v>
      </c>
      <c r="P81" s="2">
        <f>Africa_Car_Sales[[#This Row],[Revenue($)]]-Africa_Car_Sales[[#This Row],[Total Cost Price ($)]]</f>
        <v>22128</v>
      </c>
      <c r="Q81" s="3">
        <f>Africa_Car_Sales[[#This Row],[Total Profit ($)]]/Africa_Car_Sales[[#This Row],[Revenue($)]]</f>
        <v>0.24018756512678013</v>
      </c>
      <c r="R81" s="10">
        <f>Africa_Car_Sales[[#This Row],[Sale Price ($)]]-Africa_Car_Sales[[#This Row],[Market Value ($)]]</f>
        <v>1064</v>
      </c>
      <c r="S81" s="5">
        <f>(Africa_Car_Sales[[#This Row],[Sale Price ($)]]-Africa_Car_Sales[[#This Row],[Market Value ($)]])/Africa_Car_Sales[[#This Row],[Market Value ($)]]</f>
        <v>2.3644444444444444E-2</v>
      </c>
      <c r="T81" t="s">
        <v>43</v>
      </c>
    </row>
    <row r="82" spans="1:20" x14ac:dyDescent="0.35">
      <c r="A82" t="s">
        <v>309</v>
      </c>
      <c r="B82" s="1" t="s">
        <v>310</v>
      </c>
      <c r="C82" t="s">
        <v>311</v>
      </c>
      <c r="D82" t="s">
        <v>17</v>
      </c>
      <c r="E82" t="s">
        <v>98</v>
      </c>
      <c r="F82">
        <v>2022</v>
      </c>
      <c r="G82" t="s">
        <v>27</v>
      </c>
      <c r="H82" t="s">
        <v>67</v>
      </c>
      <c r="I82" t="s">
        <v>68</v>
      </c>
      <c r="J82">
        <v>5</v>
      </c>
      <c r="K82" s="2">
        <v>48000</v>
      </c>
      <c r="L82" s="2">
        <f>Africa_Car_Sales[[#This Row],[Cost Price ($)]]*Africa_Car_Sales[[#This Row],[Units Sold]]</f>
        <v>240000</v>
      </c>
      <c r="M82" s="2">
        <v>60845</v>
      </c>
      <c r="N82" s="2">
        <v>62000</v>
      </c>
      <c r="O82" s="2">
        <f>Africa_Car_Sales[[#This Row],[Sale Price ($)]]*Africa_Car_Sales[[#This Row],[Units Sold]]</f>
        <v>304225</v>
      </c>
      <c r="P82" s="2">
        <f>Africa_Car_Sales[[#This Row],[Revenue($)]]-Africa_Car_Sales[[#This Row],[Total Cost Price ($)]]</f>
        <v>64225</v>
      </c>
      <c r="Q82" s="3">
        <f>Africa_Car_Sales[[#This Row],[Total Profit ($)]]/Africa_Car_Sales[[#This Row],[Revenue($)]]</f>
        <v>0.21111019804421069</v>
      </c>
      <c r="R82" s="10">
        <f>Africa_Car_Sales[[#This Row],[Sale Price ($)]]-Africa_Car_Sales[[#This Row],[Market Value ($)]]</f>
        <v>-1155</v>
      </c>
      <c r="S82" s="5">
        <f>(Africa_Car_Sales[[#This Row],[Sale Price ($)]]-Africa_Car_Sales[[#This Row],[Market Value ($)]])/Africa_Car_Sales[[#This Row],[Market Value ($)]]</f>
        <v>-1.8629032258064514E-2</v>
      </c>
      <c r="T82" t="s">
        <v>100</v>
      </c>
    </row>
    <row r="83" spans="1:20" x14ac:dyDescent="0.35">
      <c r="A83" t="s">
        <v>312</v>
      </c>
      <c r="B83" s="1" t="s">
        <v>313</v>
      </c>
      <c r="C83" t="s">
        <v>314</v>
      </c>
      <c r="D83" t="s">
        <v>17</v>
      </c>
      <c r="E83" t="s">
        <v>18</v>
      </c>
      <c r="F83">
        <v>2022</v>
      </c>
      <c r="G83" t="s">
        <v>19</v>
      </c>
      <c r="H83" t="s">
        <v>36</v>
      </c>
      <c r="I83" t="s">
        <v>37</v>
      </c>
      <c r="J83">
        <v>5</v>
      </c>
      <c r="K83" s="2">
        <v>30000</v>
      </c>
      <c r="L83" s="2">
        <f>Africa_Car_Sales[[#This Row],[Cost Price ($)]]*Africa_Car_Sales[[#This Row],[Units Sold]]</f>
        <v>150000</v>
      </c>
      <c r="M83" s="2">
        <v>41447</v>
      </c>
      <c r="N83" s="2">
        <v>40000</v>
      </c>
      <c r="O83" s="2">
        <f>Africa_Car_Sales[[#This Row],[Sale Price ($)]]*Africa_Car_Sales[[#This Row],[Units Sold]]</f>
        <v>207235</v>
      </c>
      <c r="P83" s="2">
        <f>Africa_Car_Sales[[#This Row],[Revenue($)]]-Africa_Car_Sales[[#This Row],[Total Cost Price ($)]]</f>
        <v>57235</v>
      </c>
      <c r="Q83" s="3">
        <f>Africa_Car_Sales[[#This Row],[Total Profit ($)]]/Africa_Car_Sales[[#This Row],[Revenue($)]]</f>
        <v>0.27618404227085191</v>
      </c>
      <c r="R83" s="10">
        <f>Africa_Car_Sales[[#This Row],[Sale Price ($)]]-Africa_Car_Sales[[#This Row],[Market Value ($)]]</f>
        <v>1447</v>
      </c>
      <c r="S83" s="5">
        <f>(Africa_Car_Sales[[#This Row],[Sale Price ($)]]-Africa_Car_Sales[[#This Row],[Market Value ($)]])/Africa_Car_Sales[[#This Row],[Market Value ($)]]</f>
        <v>3.6174999999999999E-2</v>
      </c>
      <c r="T83" t="s">
        <v>22</v>
      </c>
    </row>
    <row r="84" spans="1:20" x14ac:dyDescent="0.35">
      <c r="A84" t="s">
        <v>315</v>
      </c>
      <c r="B84" s="1" t="s">
        <v>316</v>
      </c>
      <c r="C84" t="s">
        <v>299</v>
      </c>
      <c r="D84" t="s">
        <v>17</v>
      </c>
      <c r="E84" t="s">
        <v>81</v>
      </c>
      <c r="F84">
        <v>2023</v>
      </c>
      <c r="G84" t="s">
        <v>27</v>
      </c>
      <c r="H84" t="s">
        <v>82</v>
      </c>
      <c r="I84" t="s">
        <v>184</v>
      </c>
      <c r="J84">
        <v>2</v>
      </c>
      <c r="K84" s="2">
        <v>65000</v>
      </c>
      <c r="L84" s="2">
        <f>Africa_Car_Sales[[#This Row],[Cost Price ($)]]*Africa_Car_Sales[[#This Row],[Units Sold]]</f>
        <v>130000</v>
      </c>
      <c r="M84" s="2">
        <v>90887</v>
      </c>
      <c r="N84" s="2">
        <v>85000</v>
      </c>
      <c r="O84" s="2">
        <f>Africa_Car_Sales[[#This Row],[Sale Price ($)]]*Africa_Car_Sales[[#This Row],[Units Sold]]</f>
        <v>181774</v>
      </c>
      <c r="P84" s="2">
        <f>Africa_Car_Sales[[#This Row],[Revenue($)]]-Africa_Car_Sales[[#This Row],[Total Cost Price ($)]]</f>
        <v>51774</v>
      </c>
      <c r="Q84" s="3">
        <f>Africa_Car_Sales[[#This Row],[Total Profit ($)]]/Africa_Car_Sales[[#This Row],[Revenue($)]]</f>
        <v>0.28482621276970305</v>
      </c>
      <c r="R84" s="10">
        <f>Africa_Car_Sales[[#This Row],[Sale Price ($)]]-Africa_Car_Sales[[#This Row],[Market Value ($)]]</f>
        <v>5887</v>
      </c>
      <c r="S84" s="5">
        <f>(Africa_Car_Sales[[#This Row],[Sale Price ($)]]-Africa_Car_Sales[[#This Row],[Market Value ($)]])/Africa_Car_Sales[[#This Row],[Market Value ($)]]</f>
        <v>6.9258823529411762E-2</v>
      </c>
      <c r="T84" t="s">
        <v>84</v>
      </c>
    </row>
    <row r="85" spans="1:20" x14ac:dyDescent="0.35">
      <c r="A85" t="s">
        <v>317</v>
      </c>
      <c r="B85" s="1" t="s">
        <v>318</v>
      </c>
      <c r="C85" t="s">
        <v>319</v>
      </c>
      <c r="D85" t="s">
        <v>113</v>
      </c>
      <c r="E85" t="s">
        <v>176</v>
      </c>
      <c r="F85">
        <v>2021</v>
      </c>
      <c r="G85" t="s">
        <v>27</v>
      </c>
      <c r="H85" t="s">
        <v>82</v>
      </c>
      <c r="I85" t="s">
        <v>184</v>
      </c>
      <c r="J85">
        <v>4</v>
      </c>
      <c r="K85" s="2">
        <v>20000</v>
      </c>
      <c r="L85" s="2">
        <f>Africa_Car_Sales[[#This Row],[Cost Price ($)]]*Africa_Car_Sales[[#This Row],[Units Sold]]</f>
        <v>80000</v>
      </c>
      <c r="M85" s="2">
        <v>29852</v>
      </c>
      <c r="N85" s="2">
        <v>28000</v>
      </c>
      <c r="O85" s="2">
        <f>Africa_Car_Sales[[#This Row],[Sale Price ($)]]*Africa_Car_Sales[[#This Row],[Units Sold]]</f>
        <v>119408</v>
      </c>
      <c r="P85" s="2">
        <f>Africa_Car_Sales[[#This Row],[Revenue($)]]-Africa_Car_Sales[[#This Row],[Total Cost Price ($)]]</f>
        <v>39408</v>
      </c>
      <c r="Q85" s="3">
        <f>Africa_Car_Sales[[#This Row],[Total Profit ($)]]/Africa_Car_Sales[[#This Row],[Revenue($)]]</f>
        <v>0.33002813881816961</v>
      </c>
      <c r="R85" s="10">
        <f>Africa_Car_Sales[[#This Row],[Sale Price ($)]]-Africa_Car_Sales[[#This Row],[Market Value ($)]]</f>
        <v>1852</v>
      </c>
      <c r="S85" s="5">
        <f>(Africa_Car_Sales[[#This Row],[Sale Price ($)]]-Africa_Car_Sales[[#This Row],[Market Value ($)]])/Africa_Car_Sales[[#This Row],[Market Value ($)]]</f>
        <v>6.6142857142857142E-2</v>
      </c>
      <c r="T85" t="s">
        <v>177</v>
      </c>
    </row>
    <row r="86" spans="1:20" x14ac:dyDescent="0.35">
      <c r="A86" t="s">
        <v>320</v>
      </c>
      <c r="B86" s="1" t="s">
        <v>321</v>
      </c>
      <c r="C86" t="s">
        <v>194</v>
      </c>
      <c r="D86" t="s">
        <v>17</v>
      </c>
      <c r="E86" t="s">
        <v>42</v>
      </c>
      <c r="F86">
        <v>2018</v>
      </c>
      <c r="G86" t="s">
        <v>35</v>
      </c>
      <c r="H86" t="s">
        <v>36</v>
      </c>
      <c r="I86" t="s">
        <v>89</v>
      </c>
      <c r="J86">
        <v>4</v>
      </c>
      <c r="K86" s="2">
        <v>35000</v>
      </c>
      <c r="L86" s="2">
        <f>Africa_Car_Sales[[#This Row],[Cost Price ($)]]*Africa_Car_Sales[[#This Row],[Units Sold]]</f>
        <v>140000</v>
      </c>
      <c r="M86" s="2">
        <v>47694</v>
      </c>
      <c r="N86" s="2">
        <v>45000</v>
      </c>
      <c r="O86" s="2">
        <f>Africa_Car_Sales[[#This Row],[Sale Price ($)]]*Africa_Car_Sales[[#This Row],[Units Sold]]</f>
        <v>190776</v>
      </c>
      <c r="P86" s="2">
        <f>Africa_Car_Sales[[#This Row],[Revenue($)]]-Africa_Car_Sales[[#This Row],[Total Cost Price ($)]]</f>
        <v>50776</v>
      </c>
      <c r="Q86" s="3">
        <f>Africa_Car_Sales[[#This Row],[Total Profit ($)]]/Africa_Car_Sales[[#This Row],[Revenue($)]]</f>
        <v>0.26615507191680293</v>
      </c>
      <c r="R86" s="10">
        <f>Africa_Car_Sales[[#This Row],[Sale Price ($)]]-Africa_Car_Sales[[#This Row],[Market Value ($)]]</f>
        <v>2694</v>
      </c>
      <c r="S86" s="5">
        <f>(Africa_Car_Sales[[#This Row],[Sale Price ($)]]-Africa_Car_Sales[[#This Row],[Market Value ($)]])/Africa_Car_Sales[[#This Row],[Market Value ($)]]</f>
        <v>5.9866666666666665E-2</v>
      </c>
      <c r="T86" t="s">
        <v>43</v>
      </c>
    </row>
    <row r="87" spans="1:20" x14ac:dyDescent="0.35">
      <c r="A87" t="s">
        <v>322</v>
      </c>
      <c r="B87" s="1" t="s">
        <v>323</v>
      </c>
      <c r="C87" t="s">
        <v>324</v>
      </c>
      <c r="D87" t="s">
        <v>17</v>
      </c>
      <c r="E87" t="s">
        <v>18</v>
      </c>
      <c r="F87">
        <v>2023</v>
      </c>
      <c r="G87" t="s">
        <v>19</v>
      </c>
      <c r="H87" t="s">
        <v>62</v>
      </c>
      <c r="I87" t="s">
        <v>63</v>
      </c>
      <c r="J87">
        <v>4</v>
      </c>
      <c r="K87" s="2">
        <v>30000</v>
      </c>
      <c r="L87" s="2">
        <f>Africa_Car_Sales[[#This Row],[Cost Price ($)]]*Africa_Car_Sales[[#This Row],[Units Sold]]</f>
        <v>120000</v>
      </c>
      <c r="M87" s="2">
        <v>38967</v>
      </c>
      <c r="N87" s="2">
        <v>40000</v>
      </c>
      <c r="O87" s="2">
        <f>Africa_Car_Sales[[#This Row],[Sale Price ($)]]*Africa_Car_Sales[[#This Row],[Units Sold]]</f>
        <v>155868</v>
      </c>
      <c r="P87" s="2">
        <f>Africa_Car_Sales[[#This Row],[Revenue($)]]-Africa_Car_Sales[[#This Row],[Total Cost Price ($)]]</f>
        <v>35868</v>
      </c>
      <c r="Q87" s="3">
        <f>Africa_Car_Sales[[#This Row],[Total Profit ($)]]/Africa_Car_Sales[[#This Row],[Revenue($)]]</f>
        <v>0.23011779197782739</v>
      </c>
      <c r="R87" s="10">
        <f>Africa_Car_Sales[[#This Row],[Sale Price ($)]]-Africa_Car_Sales[[#This Row],[Market Value ($)]]</f>
        <v>-1033</v>
      </c>
      <c r="S87" s="5">
        <f>(Africa_Car_Sales[[#This Row],[Sale Price ($)]]-Africa_Car_Sales[[#This Row],[Market Value ($)]])/Africa_Car_Sales[[#This Row],[Market Value ($)]]</f>
        <v>-2.5825000000000001E-2</v>
      </c>
      <c r="T87" t="s">
        <v>22</v>
      </c>
    </row>
    <row r="88" spans="1:20" x14ac:dyDescent="0.35">
      <c r="A88" t="s">
        <v>325</v>
      </c>
      <c r="B88" s="1" t="s">
        <v>326</v>
      </c>
      <c r="C88" t="s">
        <v>327</v>
      </c>
      <c r="D88" t="s">
        <v>17</v>
      </c>
      <c r="E88" t="s">
        <v>34</v>
      </c>
      <c r="F88">
        <v>2023</v>
      </c>
      <c r="G88" t="s">
        <v>35</v>
      </c>
      <c r="H88" t="s">
        <v>20</v>
      </c>
      <c r="I88" t="s">
        <v>99</v>
      </c>
      <c r="J88">
        <v>2</v>
      </c>
      <c r="K88" s="2">
        <v>22000</v>
      </c>
      <c r="L88" s="2">
        <f>Africa_Car_Sales[[#This Row],[Cost Price ($)]]*Africa_Car_Sales[[#This Row],[Units Sold]]</f>
        <v>44000</v>
      </c>
      <c r="M88" s="2">
        <v>28526</v>
      </c>
      <c r="N88" s="2">
        <v>28000</v>
      </c>
      <c r="O88" s="2">
        <f>Africa_Car_Sales[[#This Row],[Sale Price ($)]]*Africa_Car_Sales[[#This Row],[Units Sold]]</f>
        <v>57052</v>
      </c>
      <c r="P88" s="2">
        <f>Africa_Car_Sales[[#This Row],[Revenue($)]]-Africa_Car_Sales[[#This Row],[Total Cost Price ($)]]</f>
        <v>13052</v>
      </c>
      <c r="Q88" s="3">
        <f>Africa_Car_Sales[[#This Row],[Total Profit ($)]]/Africa_Car_Sales[[#This Row],[Revenue($)]]</f>
        <v>0.22877375026291805</v>
      </c>
      <c r="R88" s="10">
        <f>Africa_Car_Sales[[#This Row],[Sale Price ($)]]-Africa_Car_Sales[[#This Row],[Market Value ($)]]</f>
        <v>526</v>
      </c>
      <c r="S88" s="5">
        <f>(Africa_Car_Sales[[#This Row],[Sale Price ($)]]-Africa_Car_Sales[[#This Row],[Market Value ($)]])/Africa_Car_Sales[[#This Row],[Market Value ($)]]</f>
        <v>1.8785714285714284E-2</v>
      </c>
      <c r="T88" t="s">
        <v>38</v>
      </c>
    </row>
    <row r="89" spans="1:20" x14ac:dyDescent="0.35">
      <c r="A89" t="s">
        <v>328</v>
      </c>
      <c r="B89" s="1" t="s">
        <v>329</v>
      </c>
      <c r="C89" t="s">
        <v>330</v>
      </c>
      <c r="D89" t="s">
        <v>17</v>
      </c>
      <c r="E89" t="s">
        <v>81</v>
      </c>
      <c r="F89">
        <v>2018</v>
      </c>
      <c r="G89" t="s">
        <v>27</v>
      </c>
      <c r="H89" t="s">
        <v>20</v>
      </c>
      <c r="I89" t="s">
        <v>137</v>
      </c>
      <c r="J89">
        <v>3</v>
      </c>
      <c r="K89" s="2">
        <v>65000</v>
      </c>
      <c r="L89" s="2">
        <f>Africa_Car_Sales[[#This Row],[Cost Price ($)]]*Africa_Car_Sales[[#This Row],[Units Sold]]</f>
        <v>195000</v>
      </c>
      <c r="M89" s="2">
        <v>80463</v>
      </c>
      <c r="N89" s="2">
        <v>85000</v>
      </c>
      <c r="O89" s="2">
        <f>Africa_Car_Sales[[#This Row],[Sale Price ($)]]*Africa_Car_Sales[[#This Row],[Units Sold]]</f>
        <v>241389</v>
      </c>
      <c r="P89" s="2">
        <f>Africa_Car_Sales[[#This Row],[Revenue($)]]-Africa_Car_Sales[[#This Row],[Total Cost Price ($)]]</f>
        <v>46389</v>
      </c>
      <c r="Q89" s="3">
        <f>Africa_Car_Sales[[#This Row],[Total Profit ($)]]/Africa_Car_Sales[[#This Row],[Revenue($)]]</f>
        <v>0.19217528553496638</v>
      </c>
      <c r="R89" s="10">
        <f>Africa_Car_Sales[[#This Row],[Sale Price ($)]]-Africa_Car_Sales[[#This Row],[Market Value ($)]]</f>
        <v>-4537</v>
      </c>
      <c r="S89" s="5">
        <f>(Africa_Car_Sales[[#This Row],[Sale Price ($)]]-Africa_Car_Sales[[#This Row],[Market Value ($)]])/Africa_Car_Sales[[#This Row],[Market Value ($)]]</f>
        <v>-5.3376470588235296E-2</v>
      </c>
      <c r="T89" t="s">
        <v>84</v>
      </c>
    </row>
    <row r="90" spans="1:20" x14ac:dyDescent="0.35">
      <c r="A90" t="s">
        <v>331</v>
      </c>
      <c r="B90" s="1" t="s">
        <v>332</v>
      </c>
      <c r="C90" t="s">
        <v>333</v>
      </c>
      <c r="D90" t="s">
        <v>17</v>
      </c>
      <c r="E90" t="s">
        <v>53</v>
      </c>
      <c r="F90">
        <v>2019</v>
      </c>
      <c r="G90" t="s">
        <v>35</v>
      </c>
      <c r="H90" t="s">
        <v>67</v>
      </c>
      <c r="I90" t="s">
        <v>68</v>
      </c>
      <c r="J90">
        <v>2</v>
      </c>
      <c r="K90" s="2">
        <v>70000</v>
      </c>
      <c r="L90" s="2">
        <f>Africa_Car_Sales[[#This Row],[Cost Price ($)]]*Africa_Car_Sales[[#This Row],[Units Sold]]</f>
        <v>140000</v>
      </c>
      <c r="M90" s="2">
        <v>96002</v>
      </c>
      <c r="N90" s="2">
        <v>95000</v>
      </c>
      <c r="O90" s="2">
        <f>Africa_Car_Sales[[#This Row],[Sale Price ($)]]*Africa_Car_Sales[[#This Row],[Units Sold]]</f>
        <v>192004</v>
      </c>
      <c r="P90" s="2">
        <f>Africa_Car_Sales[[#This Row],[Revenue($)]]-Africa_Car_Sales[[#This Row],[Total Cost Price ($)]]</f>
        <v>52004</v>
      </c>
      <c r="Q90" s="3">
        <f>Africa_Car_Sales[[#This Row],[Total Profit ($)]]/Africa_Car_Sales[[#This Row],[Revenue($)]]</f>
        <v>0.27084852398908354</v>
      </c>
      <c r="R90" s="10">
        <f>Africa_Car_Sales[[#This Row],[Sale Price ($)]]-Africa_Car_Sales[[#This Row],[Market Value ($)]]</f>
        <v>1002</v>
      </c>
      <c r="S90" s="5">
        <f>(Africa_Car_Sales[[#This Row],[Sale Price ($)]]-Africa_Car_Sales[[#This Row],[Market Value ($)]])/Africa_Car_Sales[[#This Row],[Market Value ($)]]</f>
        <v>1.0547368421052632E-2</v>
      </c>
      <c r="T90" t="s">
        <v>55</v>
      </c>
    </row>
    <row r="91" spans="1:20" x14ac:dyDescent="0.35">
      <c r="A91" t="s">
        <v>334</v>
      </c>
      <c r="B91" s="1" t="s">
        <v>335</v>
      </c>
      <c r="C91" t="s">
        <v>336</v>
      </c>
      <c r="D91" t="s">
        <v>113</v>
      </c>
      <c r="E91" t="s">
        <v>114</v>
      </c>
      <c r="F91">
        <v>2023</v>
      </c>
      <c r="G91" t="s">
        <v>35</v>
      </c>
      <c r="H91" t="s">
        <v>36</v>
      </c>
      <c r="I91" t="s">
        <v>123</v>
      </c>
      <c r="J91">
        <v>3</v>
      </c>
      <c r="K91" s="2">
        <v>14000</v>
      </c>
      <c r="L91" s="2">
        <f>Africa_Car_Sales[[#This Row],[Cost Price ($)]]*Africa_Car_Sales[[#This Row],[Units Sold]]</f>
        <v>42000</v>
      </c>
      <c r="M91" s="2">
        <v>19213</v>
      </c>
      <c r="N91" s="2">
        <v>20000</v>
      </c>
      <c r="O91" s="2">
        <f>Africa_Car_Sales[[#This Row],[Sale Price ($)]]*Africa_Car_Sales[[#This Row],[Units Sold]]</f>
        <v>57639</v>
      </c>
      <c r="P91" s="2">
        <f>Africa_Car_Sales[[#This Row],[Revenue($)]]-Africa_Car_Sales[[#This Row],[Total Cost Price ($)]]</f>
        <v>15639</v>
      </c>
      <c r="Q91" s="3">
        <f>Africa_Car_Sales[[#This Row],[Total Profit ($)]]/Africa_Car_Sales[[#This Row],[Revenue($)]]</f>
        <v>0.27132670587622965</v>
      </c>
      <c r="R91" s="10">
        <f>Africa_Car_Sales[[#This Row],[Sale Price ($)]]-Africa_Car_Sales[[#This Row],[Market Value ($)]]</f>
        <v>-787</v>
      </c>
      <c r="S91" s="5">
        <f>(Africa_Car_Sales[[#This Row],[Sale Price ($)]]-Africa_Car_Sales[[#This Row],[Market Value ($)]])/Africa_Car_Sales[[#This Row],[Market Value ($)]]</f>
        <v>-3.9350000000000003E-2</v>
      </c>
      <c r="T91" t="s">
        <v>116</v>
      </c>
    </row>
    <row r="92" spans="1:20" x14ac:dyDescent="0.35">
      <c r="A92" t="s">
        <v>337</v>
      </c>
      <c r="B92" s="1" t="s">
        <v>338</v>
      </c>
      <c r="C92" t="s">
        <v>267</v>
      </c>
      <c r="D92" t="s">
        <v>113</v>
      </c>
      <c r="E92" t="s">
        <v>114</v>
      </c>
      <c r="F92">
        <v>2021</v>
      </c>
      <c r="G92" t="s">
        <v>35</v>
      </c>
      <c r="H92" t="s">
        <v>82</v>
      </c>
      <c r="I92" t="s">
        <v>184</v>
      </c>
      <c r="J92">
        <v>3</v>
      </c>
      <c r="K92" s="2">
        <v>14000</v>
      </c>
      <c r="L92" s="2">
        <f>Africa_Car_Sales[[#This Row],[Cost Price ($)]]*Africa_Car_Sales[[#This Row],[Units Sold]]</f>
        <v>42000</v>
      </c>
      <c r="M92" s="2">
        <v>21478</v>
      </c>
      <c r="N92" s="2">
        <v>20000</v>
      </c>
      <c r="O92" s="2">
        <f>Africa_Car_Sales[[#This Row],[Sale Price ($)]]*Africa_Car_Sales[[#This Row],[Units Sold]]</f>
        <v>64434</v>
      </c>
      <c r="P92" s="2">
        <f>Africa_Car_Sales[[#This Row],[Revenue($)]]-Africa_Car_Sales[[#This Row],[Total Cost Price ($)]]</f>
        <v>22434</v>
      </c>
      <c r="Q92" s="3">
        <f>Africa_Car_Sales[[#This Row],[Total Profit ($)]]/Africa_Car_Sales[[#This Row],[Revenue($)]]</f>
        <v>0.34817022069093956</v>
      </c>
      <c r="R92" s="10">
        <f>Africa_Car_Sales[[#This Row],[Sale Price ($)]]-Africa_Car_Sales[[#This Row],[Market Value ($)]]</f>
        <v>1478</v>
      </c>
      <c r="S92" s="5">
        <f>(Africa_Car_Sales[[#This Row],[Sale Price ($)]]-Africa_Car_Sales[[#This Row],[Market Value ($)]])/Africa_Car_Sales[[#This Row],[Market Value ($)]]</f>
        <v>7.3899999999999993E-2</v>
      </c>
      <c r="T92" t="s">
        <v>116</v>
      </c>
    </row>
    <row r="93" spans="1:20" x14ac:dyDescent="0.35">
      <c r="A93" t="s">
        <v>339</v>
      </c>
      <c r="B93" s="1" t="s">
        <v>340</v>
      </c>
      <c r="C93" t="s">
        <v>341</v>
      </c>
      <c r="D93" t="s">
        <v>47</v>
      </c>
      <c r="E93" t="s">
        <v>48</v>
      </c>
      <c r="F93">
        <v>2018</v>
      </c>
      <c r="G93" t="s">
        <v>27</v>
      </c>
      <c r="H93" t="s">
        <v>62</v>
      </c>
      <c r="I93" t="s">
        <v>162</v>
      </c>
      <c r="J93">
        <v>3</v>
      </c>
      <c r="K93" s="2">
        <v>45000</v>
      </c>
      <c r="L93" s="2">
        <f>Africa_Car_Sales[[#This Row],[Cost Price ($)]]*Africa_Car_Sales[[#This Row],[Units Sold]]</f>
        <v>135000</v>
      </c>
      <c r="M93" s="2">
        <v>59975</v>
      </c>
      <c r="N93" s="2">
        <v>62000</v>
      </c>
      <c r="O93" s="2">
        <f>Africa_Car_Sales[[#This Row],[Sale Price ($)]]*Africa_Car_Sales[[#This Row],[Units Sold]]</f>
        <v>179925</v>
      </c>
      <c r="P93" s="2">
        <f>Africa_Car_Sales[[#This Row],[Revenue($)]]-Africa_Car_Sales[[#This Row],[Total Cost Price ($)]]</f>
        <v>44925</v>
      </c>
      <c r="Q93" s="3">
        <f>Africa_Car_Sales[[#This Row],[Total Profit ($)]]/Africa_Car_Sales[[#This Row],[Revenue($)]]</f>
        <v>0.24968736973739059</v>
      </c>
      <c r="R93" s="10">
        <f>Africa_Car_Sales[[#This Row],[Sale Price ($)]]-Africa_Car_Sales[[#This Row],[Market Value ($)]]</f>
        <v>-2025</v>
      </c>
      <c r="S93" s="5">
        <f>(Africa_Car_Sales[[#This Row],[Sale Price ($)]]-Africa_Car_Sales[[#This Row],[Market Value ($)]])/Africa_Car_Sales[[#This Row],[Market Value ($)]]</f>
        <v>-3.2661290322580645E-2</v>
      </c>
      <c r="T93" t="s">
        <v>49</v>
      </c>
    </row>
    <row r="94" spans="1:20" x14ac:dyDescent="0.35">
      <c r="A94" t="s">
        <v>342</v>
      </c>
      <c r="B94" s="1" t="s">
        <v>343</v>
      </c>
      <c r="C94" t="s">
        <v>281</v>
      </c>
      <c r="D94" t="s">
        <v>47</v>
      </c>
      <c r="E94" t="s">
        <v>48</v>
      </c>
      <c r="F94">
        <v>2024</v>
      </c>
      <c r="G94" t="s">
        <v>27</v>
      </c>
      <c r="H94" t="s">
        <v>20</v>
      </c>
      <c r="I94" t="s">
        <v>137</v>
      </c>
      <c r="J94">
        <v>3</v>
      </c>
      <c r="K94" s="2">
        <v>45000</v>
      </c>
      <c r="L94" s="2">
        <f>Africa_Car_Sales[[#This Row],[Cost Price ($)]]*Africa_Car_Sales[[#This Row],[Units Sold]]</f>
        <v>135000</v>
      </c>
      <c r="M94" s="2">
        <v>64432</v>
      </c>
      <c r="N94" s="2">
        <v>62000</v>
      </c>
      <c r="O94" s="2">
        <f>Africa_Car_Sales[[#This Row],[Sale Price ($)]]*Africa_Car_Sales[[#This Row],[Units Sold]]</f>
        <v>193296</v>
      </c>
      <c r="P94" s="2">
        <f>Africa_Car_Sales[[#This Row],[Revenue($)]]-Africa_Car_Sales[[#This Row],[Total Cost Price ($)]]</f>
        <v>58296</v>
      </c>
      <c r="Q94" s="3">
        <f>Africa_Car_Sales[[#This Row],[Total Profit ($)]]/Africa_Car_Sales[[#This Row],[Revenue($)]]</f>
        <v>0.30158927241122424</v>
      </c>
      <c r="R94" s="10">
        <f>Africa_Car_Sales[[#This Row],[Sale Price ($)]]-Africa_Car_Sales[[#This Row],[Market Value ($)]]</f>
        <v>2432</v>
      </c>
      <c r="S94" s="5">
        <f>(Africa_Car_Sales[[#This Row],[Sale Price ($)]]-Africa_Car_Sales[[#This Row],[Market Value ($)]])/Africa_Car_Sales[[#This Row],[Market Value ($)]]</f>
        <v>3.9225806451612902E-2</v>
      </c>
      <c r="T94" t="s">
        <v>49</v>
      </c>
    </row>
    <row r="95" spans="1:20" x14ac:dyDescent="0.35">
      <c r="A95" t="s">
        <v>344</v>
      </c>
      <c r="B95" s="1" t="s">
        <v>345</v>
      </c>
      <c r="C95" t="s">
        <v>346</v>
      </c>
      <c r="D95" t="s">
        <v>113</v>
      </c>
      <c r="E95" t="s">
        <v>114</v>
      </c>
      <c r="F95">
        <v>2023</v>
      </c>
      <c r="G95" t="s">
        <v>35</v>
      </c>
      <c r="H95" t="s">
        <v>62</v>
      </c>
      <c r="I95" t="s">
        <v>72</v>
      </c>
      <c r="J95">
        <v>2</v>
      </c>
      <c r="K95" s="2">
        <v>14000</v>
      </c>
      <c r="L95" s="2">
        <f>Africa_Car_Sales[[#This Row],[Cost Price ($)]]*Africa_Car_Sales[[#This Row],[Units Sold]]</f>
        <v>28000</v>
      </c>
      <c r="M95" s="2">
        <v>20818</v>
      </c>
      <c r="N95" s="2">
        <v>20000</v>
      </c>
      <c r="O95" s="2">
        <f>Africa_Car_Sales[[#This Row],[Sale Price ($)]]*Africa_Car_Sales[[#This Row],[Units Sold]]</f>
        <v>41636</v>
      </c>
      <c r="P95" s="2">
        <f>Africa_Car_Sales[[#This Row],[Revenue($)]]-Africa_Car_Sales[[#This Row],[Total Cost Price ($)]]</f>
        <v>13636</v>
      </c>
      <c r="Q95" s="3">
        <f>Africa_Car_Sales[[#This Row],[Total Profit ($)]]/Africa_Car_Sales[[#This Row],[Revenue($)]]</f>
        <v>0.32750504371217215</v>
      </c>
      <c r="R95" s="10">
        <f>Africa_Car_Sales[[#This Row],[Sale Price ($)]]-Africa_Car_Sales[[#This Row],[Market Value ($)]]</f>
        <v>818</v>
      </c>
      <c r="S95" s="5">
        <f>(Africa_Car_Sales[[#This Row],[Sale Price ($)]]-Africa_Car_Sales[[#This Row],[Market Value ($)]])/Africa_Car_Sales[[#This Row],[Market Value ($)]]</f>
        <v>4.0899999999999999E-2</v>
      </c>
      <c r="T95" t="s">
        <v>116</v>
      </c>
    </row>
    <row r="96" spans="1:20" x14ac:dyDescent="0.35">
      <c r="A96" t="s">
        <v>347</v>
      </c>
      <c r="B96" s="1" t="s">
        <v>348</v>
      </c>
      <c r="C96" t="s">
        <v>349</v>
      </c>
      <c r="D96" t="s">
        <v>17</v>
      </c>
      <c r="E96" t="s">
        <v>42</v>
      </c>
      <c r="F96">
        <v>2023</v>
      </c>
      <c r="G96" t="s">
        <v>35</v>
      </c>
      <c r="H96" t="s">
        <v>36</v>
      </c>
      <c r="I96" t="s">
        <v>37</v>
      </c>
      <c r="J96">
        <v>3</v>
      </c>
      <c r="K96" s="2">
        <v>35000</v>
      </c>
      <c r="L96" s="2">
        <f>Africa_Car_Sales[[#This Row],[Cost Price ($)]]*Africa_Car_Sales[[#This Row],[Units Sold]]</f>
        <v>105000</v>
      </c>
      <c r="M96" s="2">
        <v>47949</v>
      </c>
      <c r="N96" s="2">
        <v>45000</v>
      </c>
      <c r="O96" s="2">
        <f>Africa_Car_Sales[[#This Row],[Sale Price ($)]]*Africa_Car_Sales[[#This Row],[Units Sold]]</f>
        <v>143847</v>
      </c>
      <c r="P96" s="2">
        <f>Africa_Car_Sales[[#This Row],[Revenue($)]]-Africa_Car_Sales[[#This Row],[Total Cost Price ($)]]</f>
        <v>38847</v>
      </c>
      <c r="Q96" s="3">
        <f>Africa_Car_Sales[[#This Row],[Total Profit ($)]]/Africa_Car_Sales[[#This Row],[Revenue($)]]</f>
        <v>0.27005776971365408</v>
      </c>
      <c r="R96" s="10">
        <f>Africa_Car_Sales[[#This Row],[Sale Price ($)]]-Africa_Car_Sales[[#This Row],[Market Value ($)]]</f>
        <v>2949</v>
      </c>
      <c r="S96" s="5">
        <f>(Africa_Car_Sales[[#This Row],[Sale Price ($)]]-Africa_Car_Sales[[#This Row],[Market Value ($)]])/Africa_Car_Sales[[#This Row],[Market Value ($)]]</f>
        <v>6.5533333333333332E-2</v>
      </c>
      <c r="T96" t="s">
        <v>43</v>
      </c>
    </row>
    <row r="97" spans="1:20" x14ac:dyDescent="0.35">
      <c r="A97" t="s">
        <v>350</v>
      </c>
      <c r="B97" s="1" t="s">
        <v>351</v>
      </c>
      <c r="C97" t="s">
        <v>296</v>
      </c>
      <c r="D97" t="s">
        <v>17</v>
      </c>
      <c r="E97" t="s">
        <v>18</v>
      </c>
      <c r="F97">
        <v>2024</v>
      </c>
      <c r="G97" t="s">
        <v>19</v>
      </c>
      <c r="H97" t="s">
        <v>36</v>
      </c>
      <c r="I97" t="s">
        <v>37</v>
      </c>
      <c r="J97">
        <v>4</v>
      </c>
      <c r="K97" s="2">
        <v>30000</v>
      </c>
      <c r="L97" s="2">
        <f>Africa_Car_Sales[[#This Row],[Cost Price ($)]]*Africa_Car_Sales[[#This Row],[Units Sold]]</f>
        <v>120000</v>
      </c>
      <c r="M97" s="2">
        <v>42650</v>
      </c>
      <c r="N97" s="2">
        <v>40000</v>
      </c>
      <c r="O97" s="2">
        <f>Africa_Car_Sales[[#This Row],[Sale Price ($)]]*Africa_Car_Sales[[#This Row],[Units Sold]]</f>
        <v>170600</v>
      </c>
      <c r="P97" s="2">
        <f>Africa_Car_Sales[[#This Row],[Revenue($)]]-Africa_Car_Sales[[#This Row],[Total Cost Price ($)]]</f>
        <v>50600</v>
      </c>
      <c r="Q97" s="3">
        <f>Africa_Car_Sales[[#This Row],[Total Profit ($)]]/Africa_Car_Sales[[#This Row],[Revenue($)]]</f>
        <v>0.29660023446658851</v>
      </c>
      <c r="R97" s="10">
        <f>Africa_Car_Sales[[#This Row],[Sale Price ($)]]-Africa_Car_Sales[[#This Row],[Market Value ($)]]</f>
        <v>2650</v>
      </c>
      <c r="S97" s="5">
        <f>(Africa_Car_Sales[[#This Row],[Sale Price ($)]]-Africa_Car_Sales[[#This Row],[Market Value ($)]])/Africa_Car_Sales[[#This Row],[Market Value ($)]]</f>
        <v>6.6250000000000003E-2</v>
      </c>
      <c r="T97" t="s">
        <v>22</v>
      </c>
    </row>
    <row r="98" spans="1:20" x14ac:dyDescent="0.35">
      <c r="A98" t="s">
        <v>352</v>
      </c>
      <c r="B98" s="1" t="s">
        <v>353</v>
      </c>
      <c r="C98" t="s">
        <v>354</v>
      </c>
      <c r="D98" t="s">
        <v>47</v>
      </c>
      <c r="E98" t="s">
        <v>76</v>
      </c>
      <c r="F98">
        <v>2018</v>
      </c>
      <c r="G98" t="s">
        <v>35</v>
      </c>
      <c r="H98" t="s">
        <v>62</v>
      </c>
      <c r="I98" t="s">
        <v>63</v>
      </c>
      <c r="J98">
        <v>4</v>
      </c>
      <c r="K98" s="2">
        <v>15000</v>
      </c>
      <c r="L98" s="2">
        <f>Africa_Car_Sales[[#This Row],[Cost Price ($)]]*Africa_Car_Sales[[#This Row],[Units Sold]]</f>
        <v>60000</v>
      </c>
      <c r="M98" s="2">
        <v>21528</v>
      </c>
      <c r="N98" s="2">
        <v>22000</v>
      </c>
      <c r="O98" s="2">
        <f>Africa_Car_Sales[[#This Row],[Sale Price ($)]]*Africa_Car_Sales[[#This Row],[Units Sold]]</f>
        <v>86112</v>
      </c>
      <c r="P98" s="2">
        <f>Africa_Car_Sales[[#This Row],[Revenue($)]]-Africa_Car_Sales[[#This Row],[Total Cost Price ($)]]</f>
        <v>26112</v>
      </c>
      <c r="Q98" s="3">
        <f>Africa_Car_Sales[[#This Row],[Total Profit ($)]]/Africa_Car_Sales[[#This Row],[Revenue($)]]</f>
        <v>0.3032329988851728</v>
      </c>
      <c r="R98" s="10">
        <f>Africa_Car_Sales[[#This Row],[Sale Price ($)]]-Africa_Car_Sales[[#This Row],[Market Value ($)]]</f>
        <v>-472</v>
      </c>
      <c r="S98" s="5">
        <f>(Africa_Car_Sales[[#This Row],[Sale Price ($)]]-Africa_Car_Sales[[#This Row],[Market Value ($)]])/Africa_Car_Sales[[#This Row],[Market Value ($)]]</f>
        <v>-2.1454545454545455E-2</v>
      </c>
      <c r="T98" t="s">
        <v>77</v>
      </c>
    </row>
    <row r="99" spans="1:20" x14ac:dyDescent="0.35">
      <c r="A99" t="s">
        <v>355</v>
      </c>
      <c r="B99" s="1" t="s">
        <v>356</v>
      </c>
      <c r="C99" t="s">
        <v>287</v>
      </c>
      <c r="D99" t="s">
        <v>17</v>
      </c>
      <c r="E99" t="s">
        <v>53</v>
      </c>
      <c r="F99">
        <v>2018</v>
      </c>
      <c r="G99" t="s">
        <v>35</v>
      </c>
      <c r="H99" t="s">
        <v>20</v>
      </c>
      <c r="I99" t="s">
        <v>137</v>
      </c>
      <c r="J99">
        <v>3</v>
      </c>
      <c r="K99" s="2">
        <v>70000</v>
      </c>
      <c r="L99" s="2">
        <f>Africa_Car_Sales[[#This Row],[Cost Price ($)]]*Africa_Car_Sales[[#This Row],[Units Sold]]</f>
        <v>210000</v>
      </c>
      <c r="M99" s="2">
        <v>99901</v>
      </c>
      <c r="N99" s="2">
        <v>95000</v>
      </c>
      <c r="O99" s="2">
        <f>Africa_Car_Sales[[#This Row],[Sale Price ($)]]*Africa_Car_Sales[[#This Row],[Units Sold]]</f>
        <v>299703</v>
      </c>
      <c r="P99" s="2">
        <f>Africa_Car_Sales[[#This Row],[Revenue($)]]-Africa_Car_Sales[[#This Row],[Total Cost Price ($)]]</f>
        <v>89703</v>
      </c>
      <c r="Q99" s="3">
        <f>Africa_Car_Sales[[#This Row],[Total Profit ($)]]/Africa_Car_Sales[[#This Row],[Revenue($)]]</f>
        <v>0.29930631325011764</v>
      </c>
      <c r="R99" s="10">
        <f>Africa_Car_Sales[[#This Row],[Sale Price ($)]]-Africa_Car_Sales[[#This Row],[Market Value ($)]]</f>
        <v>4901</v>
      </c>
      <c r="S99" s="5">
        <f>(Africa_Car_Sales[[#This Row],[Sale Price ($)]]-Africa_Car_Sales[[#This Row],[Market Value ($)]])/Africa_Car_Sales[[#This Row],[Market Value ($)]]</f>
        <v>5.1589473684210525E-2</v>
      </c>
      <c r="T99" t="s">
        <v>55</v>
      </c>
    </row>
    <row r="100" spans="1:20" x14ac:dyDescent="0.35">
      <c r="A100" t="s">
        <v>357</v>
      </c>
      <c r="B100" s="1" t="s">
        <v>358</v>
      </c>
      <c r="C100" t="s">
        <v>359</v>
      </c>
      <c r="D100" t="s">
        <v>113</v>
      </c>
      <c r="E100" t="s">
        <v>114</v>
      </c>
      <c r="F100">
        <v>2023</v>
      </c>
      <c r="G100" t="s">
        <v>35</v>
      </c>
      <c r="H100" t="s">
        <v>62</v>
      </c>
      <c r="I100" t="s">
        <v>72</v>
      </c>
      <c r="J100">
        <v>3</v>
      </c>
      <c r="K100" s="2">
        <v>14000</v>
      </c>
      <c r="L100" s="2">
        <f>Africa_Car_Sales[[#This Row],[Cost Price ($)]]*Africa_Car_Sales[[#This Row],[Units Sold]]</f>
        <v>42000</v>
      </c>
      <c r="M100" s="2">
        <v>21036</v>
      </c>
      <c r="N100" s="2">
        <v>20000</v>
      </c>
      <c r="O100" s="2">
        <f>Africa_Car_Sales[[#This Row],[Sale Price ($)]]*Africa_Car_Sales[[#This Row],[Units Sold]]</f>
        <v>63108</v>
      </c>
      <c r="P100" s="2">
        <f>Africa_Car_Sales[[#This Row],[Revenue($)]]-Africa_Car_Sales[[#This Row],[Total Cost Price ($)]]</f>
        <v>21108</v>
      </c>
      <c r="Q100" s="3">
        <f>Africa_Car_Sales[[#This Row],[Total Profit ($)]]/Africa_Car_Sales[[#This Row],[Revenue($)]]</f>
        <v>0.33447423464536985</v>
      </c>
      <c r="R100" s="10">
        <f>Africa_Car_Sales[[#This Row],[Sale Price ($)]]-Africa_Car_Sales[[#This Row],[Market Value ($)]]</f>
        <v>1036</v>
      </c>
      <c r="S100" s="5">
        <f>(Africa_Car_Sales[[#This Row],[Sale Price ($)]]-Africa_Car_Sales[[#This Row],[Market Value ($)]])/Africa_Car_Sales[[#This Row],[Market Value ($)]]</f>
        <v>5.1799999999999999E-2</v>
      </c>
      <c r="T100" t="s">
        <v>116</v>
      </c>
    </row>
    <row r="101" spans="1:20" x14ac:dyDescent="0.35">
      <c r="A101" t="s">
        <v>360</v>
      </c>
      <c r="B101" s="1" t="s">
        <v>361</v>
      </c>
      <c r="C101" t="s">
        <v>362</v>
      </c>
      <c r="D101" t="s">
        <v>47</v>
      </c>
      <c r="E101" t="s">
        <v>76</v>
      </c>
      <c r="F101">
        <v>2020</v>
      </c>
      <c r="G101" t="s">
        <v>35</v>
      </c>
      <c r="H101" t="s">
        <v>67</v>
      </c>
      <c r="I101" t="s">
        <v>68</v>
      </c>
      <c r="J101">
        <v>4</v>
      </c>
      <c r="K101" s="2">
        <v>15000</v>
      </c>
      <c r="L101" s="2">
        <f>Africa_Car_Sales[[#This Row],[Cost Price ($)]]*Africa_Car_Sales[[#This Row],[Units Sold]]</f>
        <v>60000</v>
      </c>
      <c r="M101" s="2">
        <v>20718</v>
      </c>
      <c r="N101" s="2">
        <v>22000</v>
      </c>
      <c r="O101" s="2">
        <f>Africa_Car_Sales[[#This Row],[Sale Price ($)]]*Africa_Car_Sales[[#This Row],[Units Sold]]</f>
        <v>82872</v>
      </c>
      <c r="P101" s="2">
        <f>Africa_Car_Sales[[#This Row],[Revenue($)]]-Africa_Car_Sales[[#This Row],[Total Cost Price ($)]]</f>
        <v>22872</v>
      </c>
      <c r="Q101" s="3">
        <f>Africa_Car_Sales[[#This Row],[Total Profit ($)]]/Africa_Car_Sales[[#This Row],[Revenue($)]]</f>
        <v>0.27599189110918043</v>
      </c>
      <c r="R101" s="10">
        <f>Africa_Car_Sales[[#This Row],[Sale Price ($)]]-Africa_Car_Sales[[#This Row],[Market Value ($)]]</f>
        <v>-1282</v>
      </c>
      <c r="S101" s="5">
        <f>(Africa_Car_Sales[[#This Row],[Sale Price ($)]]-Africa_Car_Sales[[#This Row],[Market Value ($)]])/Africa_Car_Sales[[#This Row],[Market Value ($)]]</f>
        <v>-5.8272727272727275E-2</v>
      </c>
      <c r="T101" t="s">
        <v>77</v>
      </c>
    </row>
    <row r="102" spans="1:20" x14ac:dyDescent="0.35">
      <c r="A102" t="s">
        <v>363</v>
      </c>
      <c r="B102" s="1" t="s">
        <v>60</v>
      </c>
      <c r="C102" t="s">
        <v>364</v>
      </c>
      <c r="D102" t="s">
        <v>47</v>
      </c>
      <c r="E102" t="s">
        <v>48</v>
      </c>
      <c r="F102">
        <v>2018</v>
      </c>
      <c r="G102" t="s">
        <v>27</v>
      </c>
      <c r="H102" t="s">
        <v>20</v>
      </c>
      <c r="I102" t="s">
        <v>21</v>
      </c>
      <c r="J102">
        <v>3</v>
      </c>
      <c r="K102" s="2">
        <v>45000</v>
      </c>
      <c r="L102" s="2">
        <f>Africa_Car_Sales[[#This Row],[Cost Price ($)]]*Africa_Car_Sales[[#This Row],[Units Sold]]</f>
        <v>135000</v>
      </c>
      <c r="M102" s="2">
        <v>61089</v>
      </c>
      <c r="N102" s="2">
        <v>62000</v>
      </c>
      <c r="O102" s="2">
        <f>Africa_Car_Sales[[#This Row],[Sale Price ($)]]*Africa_Car_Sales[[#This Row],[Units Sold]]</f>
        <v>183267</v>
      </c>
      <c r="P102" s="2">
        <f>Africa_Car_Sales[[#This Row],[Revenue($)]]-Africa_Car_Sales[[#This Row],[Total Cost Price ($)]]</f>
        <v>48267</v>
      </c>
      <c r="Q102" s="3">
        <f>Africa_Car_Sales[[#This Row],[Total Profit ($)]]/Africa_Car_Sales[[#This Row],[Revenue($)]]</f>
        <v>0.26336983745027748</v>
      </c>
      <c r="R102" s="10">
        <f>Africa_Car_Sales[[#This Row],[Sale Price ($)]]-Africa_Car_Sales[[#This Row],[Market Value ($)]]</f>
        <v>-911</v>
      </c>
      <c r="S102" s="5">
        <f>(Africa_Car_Sales[[#This Row],[Sale Price ($)]]-Africa_Car_Sales[[#This Row],[Market Value ($)]])/Africa_Car_Sales[[#This Row],[Market Value ($)]]</f>
        <v>-1.4693548387096774E-2</v>
      </c>
      <c r="T102" t="s">
        <v>49</v>
      </c>
    </row>
    <row r="103" spans="1:20" x14ac:dyDescent="0.35">
      <c r="A103" t="s">
        <v>365</v>
      </c>
      <c r="B103" s="1" t="s">
        <v>366</v>
      </c>
      <c r="C103" t="s">
        <v>296</v>
      </c>
      <c r="D103" t="s">
        <v>47</v>
      </c>
      <c r="E103" t="s">
        <v>76</v>
      </c>
      <c r="F103">
        <v>2018</v>
      </c>
      <c r="G103" t="s">
        <v>35</v>
      </c>
      <c r="H103" t="s">
        <v>82</v>
      </c>
      <c r="I103" t="s">
        <v>240</v>
      </c>
      <c r="J103">
        <v>3</v>
      </c>
      <c r="K103" s="2">
        <v>15000</v>
      </c>
      <c r="L103" s="2">
        <f>Africa_Car_Sales[[#This Row],[Cost Price ($)]]*Africa_Car_Sales[[#This Row],[Units Sold]]</f>
        <v>45000</v>
      </c>
      <c r="M103" s="2">
        <v>23414</v>
      </c>
      <c r="N103" s="2">
        <v>22000</v>
      </c>
      <c r="O103" s="2">
        <f>Africa_Car_Sales[[#This Row],[Sale Price ($)]]*Africa_Car_Sales[[#This Row],[Units Sold]]</f>
        <v>70242</v>
      </c>
      <c r="P103" s="2">
        <f>Africa_Car_Sales[[#This Row],[Revenue($)]]-Africa_Car_Sales[[#This Row],[Total Cost Price ($)]]</f>
        <v>25242</v>
      </c>
      <c r="Q103" s="3">
        <f>Africa_Car_Sales[[#This Row],[Total Profit ($)]]/Africa_Car_Sales[[#This Row],[Revenue($)]]</f>
        <v>0.35935764926966773</v>
      </c>
      <c r="R103" s="10">
        <f>Africa_Car_Sales[[#This Row],[Sale Price ($)]]-Africa_Car_Sales[[#This Row],[Market Value ($)]]</f>
        <v>1414</v>
      </c>
      <c r="S103" s="5">
        <f>(Africa_Car_Sales[[#This Row],[Sale Price ($)]]-Africa_Car_Sales[[#This Row],[Market Value ($)]])/Africa_Car_Sales[[#This Row],[Market Value ($)]]</f>
        <v>6.4272727272727273E-2</v>
      </c>
      <c r="T103" t="s">
        <v>77</v>
      </c>
    </row>
    <row r="104" spans="1:20" x14ac:dyDescent="0.35">
      <c r="A104" t="s">
        <v>367</v>
      </c>
      <c r="B104" s="1" t="s">
        <v>368</v>
      </c>
      <c r="C104" t="s">
        <v>140</v>
      </c>
      <c r="D104" t="s">
        <v>47</v>
      </c>
      <c r="E104" t="s">
        <v>48</v>
      </c>
      <c r="F104">
        <v>2024</v>
      </c>
      <c r="G104" t="s">
        <v>27</v>
      </c>
      <c r="H104" t="s">
        <v>20</v>
      </c>
      <c r="I104" t="s">
        <v>21</v>
      </c>
      <c r="J104">
        <v>1</v>
      </c>
      <c r="K104" s="2">
        <v>45000</v>
      </c>
      <c r="L104" s="2">
        <f>Africa_Car_Sales[[#This Row],[Cost Price ($)]]*Africa_Car_Sales[[#This Row],[Units Sold]]</f>
        <v>45000</v>
      </c>
      <c r="M104" s="2">
        <v>66673</v>
      </c>
      <c r="N104" s="2">
        <v>62000</v>
      </c>
      <c r="O104" s="2">
        <f>Africa_Car_Sales[[#This Row],[Sale Price ($)]]*Africa_Car_Sales[[#This Row],[Units Sold]]</f>
        <v>66673</v>
      </c>
      <c r="P104" s="2">
        <f>Africa_Car_Sales[[#This Row],[Revenue($)]]-Africa_Car_Sales[[#This Row],[Total Cost Price ($)]]</f>
        <v>21673</v>
      </c>
      <c r="Q104" s="3">
        <f>Africa_Car_Sales[[#This Row],[Total Profit ($)]]/Africa_Car_Sales[[#This Row],[Revenue($)]]</f>
        <v>0.32506411890870368</v>
      </c>
      <c r="R104" s="10">
        <f>Africa_Car_Sales[[#This Row],[Sale Price ($)]]-Africa_Car_Sales[[#This Row],[Market Value ($)]]</f>
        <v>4673</v>
      </c>
      <c r="S104" s="5">
        <f>(Africa_Car_Sales[[#This Row],[Sale Price ($)]]-Africa_Car_Sales[[#This Row],[Market Value ($)]])/Africa_Car_Sales[[#This Row],[Market Value ($)]]</f>
        <v>7.5370967741935482E-2</v>
      </c>
      <c r="T104" t="s">
        <v>49</v>
      </c>
    </row>
    <row r="105" spans="1:20" x14ac:dyDescent="0.35">
      <c r="A105" t="s">
        <v>369</v>
      </c>
      <c r="B105" s="1" t="s">
        <v>370</v>
      </c>
      <c r="C105" t="s">
        <v>371</v>
      </c>
      <c r="D105" t="s">
        <v>17</v>
      </c>
      <c r="E105" t="s">
        <v>26</v>
      </c>
      <c r="F105">
        <v>2024</v>
      </c>
      <c r="G105" t="s">
        <v>27</v>
      </c>
      <c r="H105" t="s">
        <v>62</v>
      </c>
      <c r="I105" t="s">
        <v>72</v>
      </c>
      <c r="J105">
        <v>2</v>
      </c>
      <c r="K105" s="2">
        <v>40000</v>
      </c>
      <c r="L105" s="2">
        <f>Africa_Car_Sales[[#This Row],[Cost Price ($)]]*Africa_Car_Sales[[#This Row],[Units Sold]]</f>
        <v>80000</v>
      </c>
      <c r="M105" s="2">
        <v>50574</v>
      </c>
      <c r="N105" s="2">
        <v>52000</v>
      </c>
      <c r="O105" s="2">
        <f>Africa_Car_Sales[[#This Row],[Sale Price ($)]]*Africa_Car_Sales[[#This Row],[Units Sold]]</f>
        <v>101148</v>
      </c>
      <c r="P105" s="2">
        <f>Africa_Car_Sales[[#This Row],[Revenue($)]]-Africa_Car_Sales[[#This Row],[Total Cost Price ($)]]</f>
        <v>21148</v>
      </c>
      <c r="Q105" s="3">
        <f>Africa_Car_Sales[[#This Row],[Total Profit ($)]]/Africa_Car_Sales[[#This Row],[Revenue($)]]</f>
        <v>0.20907976430576977</v>
      </c>
      <c r="R105" s="10">
        <f>Africa_Car_Sales[[#This Row],[Sale Price ($)]]-Africa_Car_Sales[[#This Row],[Market Value ($)]]</f>
        <v>-1426</v>
      </c>
      <c r="S105" s="5">
        <f>(Africa_Car_Sales[[#This Row],[Sale Price ($)]]-Africa_Car_Sales[[#This Row],[Market Value ($)]])/Africa_Car_Sales[[#This Row],[Market Value ($)]]</f>
        <v>-2.7423076923076922E-2</v>
      </c>
      <c r="T105" t="s">
        <v>30</v>
      </c>
    </row>
    <row r="106" spans="1:20" x14ac:dyDescent="0.35">
      <c r="A106" t="s">
        <v>372</v>
      </c>
      <c r="B106" s="1" t="s">
        <v>373</v>
      </c>
      <c r="C106" t="s">
        <v>374</v>
      </c>
      <c r="D106" t="s">
        <v>113</v>
      </c>
      <c r="E106" t="s">
        <v>114</v>
      </c>
      <c r="F106">
        <v>2018</v>
      </c>
      <c r="G106" t="s">
        <v>35</v>
      </c>
      <c r="H106" t="s">
        <v>82</v>
      </c>
      <c r="I106" t="s">
        <v>240</v>
      </c>
      <c r="J106">
        <v>2</v>
      </c>
      <c r="K106" s="2">
        <v>14000</v>
      </c>
      <c r="L106" s="2">
        <f>Africa_Car_Sales[[#This Row],[Cost Price ($)]]*Africa_Car_Sales[[#This Row],[Units Sold]]</f>
        <v>28000</v>
      </c>
      <c r="M106" s="2">
        <v>21173</v>
      </c>
      <c r="N106" s="2">
        <v>20000</v>
      </c>
      <c r="O106" s="2">
        <f>Africa_Car_Sales[[#This Row],[Sale Price ($)]]*Africa_Car_Sales[[#This Row],[Units Sold]]</f>
        <v>42346</v>
      </c>
      <c r="P106" s="2">
        <f>Africa_Car_Sales[[#This Row],[Revenue($)]]-Africa_Car_Sales[[#This Row],[Total Cost Price ($)]]</f>
        <v>14346</v>
      </c>
      <c r="Q106" s="3">
        <f>Africa_Car_Sales[[#This Row],[Total Profit ($)]]/Africa_Car_Sales[[#This Row],[Revenue($)]]</f>
        <v>0.33878052236338735</v>
      </c>
      <c r="R106" s="10">
        <f>Africa_Car_Sales[[#This Row],[Sale Price ($)]]-Africa_Car_Sales[[#This Row],[Market Value ($)]]</f>
        <v>1173</v>
      </c>
      <c r="S106" s="5">
        <f>(Africa_Car_Sales[[#This Row],[Sale Price ($)]]-Africa_Car_Sales[[#This Row],[Market Value ($)]])/Africa_Car_Sales[[#This Row],[Market Value ($)]]</f>
        <v>5.8650000000000001E-2</v>
      </c>
      <c r="T106" t="s">
        <v>116</v>
      </c>
    </row>
    <row r="107" spans="1:20" x14ac:dyDescent="0.35">
      <c r="A107" t="s">
        <v>375</v>
      </c>
      <c r="B107" s="1" t="s">
        <v>376</v>
      </c>
      <c r="C107" t="s">
        <v>377</v>
      </c>
      <c r="D107" t="s">
        <v>113</v>
      </c>
      <c r="E107" t="s">
        <v>176</v>
      </c>
      <c r="F107">
        <v>2023</v>
      </c>
      <c r="G107" t="s">
        <v>27</v>
      </c>
      <c r="H107" t="s">
        <v>82</v>
      </c>
      <c r="I107" t="s">
        <v>240</v>
      </c>
      <c r="J107">
        <v>1</v>
      </c>
      <c r="K107" s="2">
        <v>20000</v>
      </c>
      <c r="L107" s="2">
        <f>Africa_Car_Sales[[#This Row],[Cost Price ($)]]*Africa_Car_Sales[[#This Row],[Units Sold]]</f>
        <v>20000</v>
      </c>
      <c r="M107" s="2">
        <v>27646</v>
      </c>
      <c r="N107" s="2">
        <v>28000</v>
      </c>
      <c r="O107" s="2">
        <f>Africa_Car_Sales[[#This Row],[Sale Price ($)]]*Africa_Car_Sales[[#This Row],[Units Sold]]</f>
        <v>27646</v>
      </c>
      <c r="P107" s="2">
        <f>Africa_Car_Sales[[#This Row],[Revenue($)]]-Africa_Car_Sales[[#This Row],[Total Cost Price ($)]]</f>
        <v>7646</v>
      </c>
      <c r="Q107" s="3">
        <f>Africa_Car_Sales[[#This Row],[Total Profit ($)]]/Africa_Car_Sales[[#This Row],[Revenue($)]]</f>
        <v>0.2765680387759531</v>
      </c>
      <c r="R107" s="10">
        <f>Africa_Car_Sales[[#This Row],[Sale Price ($)]]-Africa_Car_Sales[[#This Row],[Market Value ($)]]</f>
        <v>-354</v>
      </c>
      <c r="S107" s="5">
        <f>(Africa_Car_Sales[[#This Row],[Sale Price ($)]]-Africa_Car_Sales[[#This Row],[Market Value ($)]])/Africa_Car_Sales[[#This Row],[Market Value ($)]]</f>
        <v>-1.2642857142857143E-2</v>
      </c>
      <c r="T107" t="s">
        <v>177</v>
      </c>
    </row>
    <row r="108" spans="1:20" x14ac:dyDescent="0.35">
      <c r="A108" t="s">
        <v>378</v>
      </c>
      <c r="B108" s="1" t="s">
        <v>379</v>
      </c>
      <c r="C108" t="s">
        <v>380</v>
      </c>
      <c r="D108" t="s">
        <v>17</v>
      </c>
      <c r="E108" t="s">
        <v>26</v>
      </c>
      <c r="F108">
        <v>2023</v>
      </c>
      <c r="G108" t="s">
        <v>27</v>
      </c>
      <c r="H108" t="s">
        <v>28</v>
      </c>
      <c r="I108" t="s">
        <v>166</v>
      </c>
      <c r="J108">
        <v>1</v>
      </c>
      <c r="K108" s="2">
        <v>40000</v>
      </c>
      <c r="L108" s="2">
        <f>Africa_Car_Sales[[#This Row],[Cost Price ($)]]*Africa_Car_Sales[[#This Row],[Units Sold]]</f>
        <v>40000</v>
      </c>
      <c r="M108" s="2">
        <v>55706</v>
      </c>
      <c r="N108" s="2">
        <v>52000</v>
      </c>
      <c r="O108" s="2">
        <f>Africa_Car_Sales[[#This Row],[Sale Price ($)]]*Africa_Car_Sales[[#This Row],[Units Sold]]</f>
        <v>55706</v>
      </c>
      <c r="P108" s="2">
        <f>Africa_Car_Sales[[#This Row],[Revenue($)]]-Africa_Car_Sales[[#This Row],[Total Cost Price ($)]]</f>
        <v>15706</v>
      </c>
      <c r="Q108" s="3">
        <f>Africa_Car_Sales[[#This Row],[Total Profit ($)]]/Africa_Car_Sales[[#This Row],[Revenue($)]]</f>
        <v>0.2819444943094101</v>
      </c>
      <c r="R108" s="10">
        <f>Africa_Car_Sales[[#This Row],[Sale Price ($)]]-Africa_Car_Sales[[#This Row],[Market Value ($)]]</f>
        <v>3706</v>
      </c>
      <c r="S108" s="5">
        <f>(Africa_Car_Sales[[#This Row],[Sale Price ($)]]-Africa_Car_Sales[[#This Row],[Market Value ($)]])/Africa_Car_Sales[[#This Row],[Market Value ($)]]</f>
        <v>7.1269230769230765E-2</v>
      </c>
      <c r="T108" t="s">
        <v>30</v>
      </c>
    </row>
    <row r="109" spans="1:20" x14ac:dyDescent="0.35">
      <c r="A109" t="s">
        <v>381</v>
      </c>
      <c r="B109" s="1" t="s">
        <v>382</v>
      </c>
      <c r="C109" t="s">
        <v>287</v>
      </c>
      <c r="D109" t="s">
        <v>17</v>
      </c>
      <c r="E109" t="s">
        <v>53</v>
      </c>
      <c r="F109">
        <v>2021</v>
      </c>
      <c r="G109" t="s">
        <v>35</v>
      </c>
      <c r="H109" t="s">
        <v>28</v>
      </c>
      <c r="I109" t="s">
        <v>29</v>
      </c>
      <c r="J109">
        <v>1</v>
      </c>
      <c r="K109" s="2">
        <v>70000</v>
      </c>
      <c r="L109" s="2">
        <f>Africa_Car_Sales[[#This Row],[Cost Price ($)]]*Africa_Car_Sales[[#This Row],[Units Sold]]</f>
        <v>70000</v>
      </c>
      <c r="M109" s="2">
        <v>93879</v>
      </c>
      <c r="N109" s="2">
        <v>95000</v>
      </c>
      <c r="O109" s="2">
        <f>Africa_Car_Sales[[#This Row],[Sale Price ($)]]*Africa_Car_Sales[[#This Row],[Units Sold]]</f>
        <v>93879</v>
      </c>
      <c r="P109" s="2">
        <f>Africa_Car_Sales[[#This Row],[Revenue($)]]-Africa_Car_Sales[[#This Row],[Total Cost Price ($)]]</f>
        <v>23879</v>
      </c>
      <c r="Q109" s="3">
        <f>Africa_Car_Sales[[#This Row],[Total Profit ($)]]/Africa_Car_Sales[[#This Row],[Revenue($)]]</f>
        <v>0.25435933488852674</v>
      </c>
      <c r="R109" s="10">
        <f>Africa_Car_Sales[[#This Row],[Sale Price ($)]]-Africa_Car_Sales[[#This Row],[Market Value ($)]]</f>
        <v>-1121</v>
      </c>
      <c r="S109" s="5">
        <f>(Africa_Car_Sales[[#This Row],[Sale Price ($)]]-Africa_Car_Sales[[#This Row],[Market Value ($)]])/Africa_Car_Sales[[#This Row],[Market Value ($)]]</f>
        <v>-1.18E-2</v>
      </c>
      <c r="T109" t="s">
        <v>55</v>
      </c>
    </row>
    <row r="110" spans="1:20" x14ac:dyDescent="0.35">
      <c r="A110" t="s">
        <v>383</v>
      </c>
      <c r="B110" s="1" t="s">
        <v>384</v>
      </c>
      <c r="C110" t="s">
        <v>385</v>
      </c>
      <c r="D110" t="s">
        <v>17</v>
      </c>
      <c r="E110" t="s">
        <v>18</v>
      </c>
      <c r="F110">
        <v>2022</v>
      </c>
      <c r="G110" t="s">
        <v>19</v>
      </c>
      <c r="H110" t="s">
        <v>62</v>
      </c>
      <c r="I110" t="s">
        <v>63</v>
      </c>
      <c r="J110">
        <v>5</v>
      </c>
      <c r="K110" s="2">
        <v>30000</v>
      </c>
      <c r="L110" s="2">
        <f>Africa_Car_Sales[[#This Row],[Cost Price ($)]]*Africa_Car_Sales[[#This Row],[Units Sold]]</f>
        <v>150000</v>
      </c>
      <c r="M110" s="2">
        <v>40796</v>
      </c>
      <c r="N110" s="2">
        <v>40000</v>
      </c>
      <c r="O110" s="2">
        <f>Africa_Car_Sales[[#This Row],[Sale Price ($)]]*Africa_Car_Sales[[#This Row],[Units Sold]]</f>
        <v>203980</v>
      </c>
      <c r="P110" s="2">
        <f>Africa_Car_Sales[[#This Row],[Revenue($)]]-Africa_Car_Sales[[#This Row],[Total Cost Price ($)]]</f>
        <v>53980</v>
      </c>
      <c r="Q110" s="3">
        <f>Africa_Car_Sales[[#This Row],[Total Profit ($)]]/Africa_Car_Sales[[#This Row],[Revenue($)]]</f>
        <v>0.26463378762623785</v>
      </c>
      <c r="R110" s="10">
        <f>Africa_Car_Sales[[#This Row],[Sale Price ($)]]-Africa_Car_Sales[[#This Row],[Market Value ($)]]</f>
        <v>796</v>
      </c>
      <c r="S110" s="5">
        <f>(Africa_Car_Sales[[#This Row],[Sale Price ($)]]-Africa_Car_Sales[[#This Row],[Market Value ($)]])/Africa_Car_Sales[[#This Row],[Market Value ($)]]</f>
        <v>1.9900000000000001E-2</v>
      </c>
      <c r="T110" t="s">
        <v>22</v>
      </c>
    </row>
    <row r="111" spans="1:20" x14ac:dyDescent="0.35">
      <c r="A111" t="s">
        <v>386</v>
      </c>
      <c r="B111" s="1" t="s">
        <v>387</v>
      </c>
      <c r="C111" t="s">
        <v>388</v>
      </c>
      <c r="D111" t="s">
        <v>113</v>
      </c>
      <c r="E111" t="s">
        <v>176</v>
      </c>
      <c r="F111">
        <v>2023</v>
      </c>
      <c r="G111" t="s">
        <v>27</v>
      </c>
      <c r="H111" t="s">
        <v>36</v>
      </c>
      <c r="I111" t="s">
        <v>37</v>
      </c>
      <c r="J111">
        <v>5</v>
      </c>
      <c r="K111" s="2">
        <v>20000</v>
      </c>
      <c r="L111" s="2">
        <f>Africa_Car_Sales[[#This Row],[Cost Price ($)]]*Africa_Car_Sales[[#This Row],[Units Sold]]</f>
        <v>100000</v>
      </c>
      <c r="M111" s="2">
        <v>26273</v>
      </c>
      <c r="N111" s="2">
        <v>28000</v>
      </c>
      <c r="O111" s="2">
        <f>Africa_Car_Sales[[#This Row],[Sale Price ($)]]*Africa_Car_Sales[[#This Row],[Units Sold]]</f>
        <v>131365</v>
      </c>
      <c r="P111" s="2">
        <f>Africa_Car_Sales[[#This Row],[Revenue($)]]-Africa_Car_Sales[[#This Row],[Total Cost Price ($)]]</f>
        <v>31365</v>
      </c>
      <c r="Q111" s="3">
        <f>Africa_Car_Sales[[#This Row],[Total Profit ($)]]/Africa_Car_Sales[[#This Row],[Revenue($)]]</f>
        <v>0.23876222738172267</v>
      </c>
      <c r="R111" s="10">
        <f>Africa_Car_Sales[[#This Row],[Sale Price ($)]]-Africa_Car_Sales[[#This Row],[Market Value ($)]]</f>
        <v>-1727</v>
      </c>
      <c r="S111" s="5">
        <f>(Africa_Car_Sales[[#This Row],[Sale Price ($)]]-Africa_Car_Sales[[#This Row],[Market Value ($)]])/Africa_Car_Sales[[#This Row],[Market Value ($)]]</f>
        <v>-6.167857142857143E-2</v>
      </c>
      <c r="T111" t="s">
        <v>177</v>
      </c>
    </row>
    <row r="112" spans="1:20" x14ac:dyDescent="0.35">
      <c r="A112" t="s">
        <v>389</v>
      </c>
      <c r="B112" s="1" t="s">
        <v>390</v>
      </c>
      <c r="C112" t="s">
        <v>391</v>
      </c>
      <c r="D112" t="s">
        <v>17</v>
      </c>
      <c r="E112" t="s">
        <v>53</v>
      </c>
      <c r="F112">
        <v>2021</v>
      </c>
      <c r="G112" t="s">
        <v>35</v>
      </c>
      <c r="H112" t="s">
        <v>82</v>
      </c>
      <c r="I112" t="s">
        <v>83</v>
      </c>
      <c r="J112">
        <v>3</v>
      </c>
      <c r="K112" s="2">
        <v>70000</v>
      </c>
      <c r="L112" s="2">
        <f>Africa_Car_Sales[[#This Row],[Cost Price ($)]]*Africa_Car_Sales[[#This Row],[Units Sold]]</f>
        <v>210000</v>
      </c>
      <c r="M112" s="2">
        <v>98490</v>
      </c>
      <c r="N112" s="2">
        <v>95000</v>
      </c>
      <c r="O112" s="2">
        <f>Africa_Car_Sales[[#This Row],[Sale Price ($)]]*Africa_Car_Sales[[#This Row],[Units Sold]]</f>
        <v>295470</v>
      </c>
      <c r="P112" s="2">
        <f>Africa_Car_Sales[[#This Row],[Revenue($)]]-Africa_Car_Sales[[#This Row],[Total Cost Price ($)]]</f>
        <v>85470</v>
      </c>
      <c r="Q112" s="3">
        <f>Africa_Car_Sales[[#This Row],[Total Profit ($)]]/Africa_Car_Sales[[#This Row],[Revenue($)]]</f>
        <v>0.28926794598436389</v>
      </c>
      <c r="R112" s="10">
        <f>Africa_Car_Sales[[#This Row],[Sale Price ($)]]-Africa_Car_Sales[[#This Row],[Market Value ($)]]</f>
        <v>3490</v>
      </c>
      <c r="S112" s="5">
        <f>(Africa_Car_Sales[[#This Row],[Sale Price ($)]]-Africa_Car_Sales[[#This Row],[Market Value ($)]])/Africa_Car_Sales[[#This Row],[Market Value ($)]]</f>
        <v>3.6736842105263158E-2</v>
      </c>
      <c r="T112" t="s">
        <v>55</v>
      </c>
    </row>
    <row r="113" spans="1:20" x14ac:dyDescent="0.35">
      <c r="A113" t="s">
        <v>392</v>
      </c>
      <c r="B113" s="1" t="s">
        <v>393</v>
      </c>
      <c r="C113" t="s">
        <v>394</v>
      </c>
      <c r="D113" t="s">
        <v>17</v>
      </c>
      <c r="E113" t="s">
        <v>42</v>
      </c>
      <c r="F113">
        <v>2023</v>
      </c>
      <c r="G113" t="s">
        <v>35</v>
      </c>
      <c r="H113" t="s">
        <v>67</v>
      </c>
      <c r="I113" t="s">
        <v>68</v>
      </c>
      <c r="J113">
        <v>1</v>
      </c>
      <c r="K113" s="2">
        <v>35000</v>
      </c>
      <c r="L113" s="2">
        <f>Africa_Car_Sales[[#This Row],[Cost Price ($)]]*Africa_Car_Sales[[#This Row],[Units Sold]]</f>
        <v>35000</v>
      </c>
      <c r="M113" s="2">
        <v>42071</v>
      </c>
      <c r="N113" s="2">
        <v>45000</v>
      </c>
      <c r="O113" s="2">
        <f>Africa_Car_Sales[[#This Row],[Sale Price ($)]]*Africa_Car_Sales[[#This Row],[Units Sold]]</f>
        <v>42071</v>
      </c>
      <c r="P113" s="2">
        <f>Africa_Car_Sales[[#This Row],[Revenue($)]]-Africa_Car_Sales[[#This Row],[Total Cost Price ($)]]</f>
        <v>7071</v>
      </c>
      <c r="Q113" s="3">
        <f>Africa_Car_Sales[[#This Row],[Total Profit ($)]]/Africa_Car_Sales[[#This Row],[Revenue($)]]</f>
        <v>0.16807301941955266</v>
      </c>
      <c r="R113" s="10">
        <f>Africa_Car_Sales[[#This Row],[Sale Price ($)]]-Africa_Car_Sales[[#This Row],[Market Value ($)]]</f>
        <v>-2929</v>
      </c>
      <c r="S113" s="5">
        <f>(Africa_Car_Sales[[#This Row],[Sale Price ($)]]-Africa_Car_Sales[[#This Row],[Market Value ($)]])/Africa_Car_Sales[[#This Row],[Market Value ($)]]</f>
        <v>-6.5088888888888891E-2</v>
      </c>
      <c r="T113" t="s">
        <v>43</v>
      </c>
    </row>
    <row r="114" spans="1:20" x14ac:dyDescent="0.35">
      <c r="A114" t="s">
        <v>395</v>
      </c>
      <c r="B114" s="1" t="s">
        <v>396</v>
      </c>
      <c r="C114" t="s">
        <v>397</v>
      </c>
      <c r="D114" t="s">
        <v>113</v>
      </c>
      <c r="E114" t="s">
        <v>114</v>
      </c>
      <c r="F114">
        <v>2024</v>
      </c>
      <c r="G114" t="s">
        <v>35</v>
      </c>
      <c r="H114" t="s">
        <v>28</v>
      </c>
      <c r="I114" t="s">
        <v>166</v>
      </c>
      <c r="J114">
        <v>4</v>
      </c>
      <c r="K114" s="2">
        <v>14000</v>
      </c>
      <c r="L114" s="2">
        <f>Africa_Car_Sales[[#This Row],[Cost Price ($)]]*Africa_Car_Sales[[#This Row],[Units Sold]]</f>
        <v>56000</v>
      </c>
      <c r="M114" s="2">
        <v>21412</v>
      </c>
      <c r="N114" s="2">
        <v>20000</v>
      </c>
      <c r="O114" s="2">
        <f>Africa_Car_Sales[[#This Row],[Sale Price ($)]]*Africa_Car_Sales[[#This Row],[Units Sold]]</f>
        <v>85648</v>
      </c>
      <c r="P114" s="2">
        <f>Africa_Car_Sales[[#This Row],[Revenue($)]]-Africa_Car_Sales[[#This Row],[Total Cost Price ($)]]</f>
        <v>29648</v>
      </c>
      <c r="Q114" s="3">
        <f>Africa_Car_Sales[[#This Row],[Total Profit ($)]]/Africa_Car_Sales[[#This Row],[Revenue($)]]</f>
        <v>0.34616103119745939</v>
      </c>
      <c r="R114" s="10">
        <f>Africa_Car_Sales[[#This Row],[Sale Price ($)]]-Africa_Car_Sales[[#This Row],[Market Value ($)]]</f>
        <v>1412</v>
      </c>
      <c r="S114" s="5">
        <f>(Africa_Car_Sales[[#This Row],[Sale Price ($)]]-Africa_Car_Sales[[#This Row],[Market Value ($)]])/Africa_Car_Sales[[#This Row],[Market Value ($)]]</f>
        <v>7.0599999999999996E-2</v>
      </c>
      <c r="T114" t="s">
        <v>116</v>
      </c>
    </row>
    <row r="115" spans="1:20" x14ac:dyDescent="0.35">
      <c r="A115" t="s">
        <v>398</v>
      </c>
      <c r="B115" s="1" t="s">
        <v>399</v>
      </c>
      <c r="C115" t="s">
        <v>400</v>
      </c>
      <c r="D115" t="s">
        <v>113</v>
      </c>
      <c r="E115" t="s">
        <v>114</v>
      </c>
      <c r="F115">
        <v>2020</v>
      </c>
      <c r="G115" t="s">
        <v>35</v>
      </c>
      <c r="H115" t="s">
        <v>36</v>
      </c>
      <c r="I115" t="s">
        <v>89</v>
      </c>
      <c r="J115">
        <v>1</v>
      </c>
      <c r="K115" s="2">
        <v>14000</v>
      </c>
      <c r="L115" s="2">
        <f>Africa_Car_Sales[[#This Row],[Cost Price ($)]]*Africa_Car_Sales[[#This Row],[Units Sold]]</f>
        <v>14000</v>
      </c>
      <c r="M115" s="2">
        <v>19943</v>
      </c>
      <c r="N115" s="2">
        <v>20000</v>
      </c>
      <c r="O115" s="2">
        <f>Africa_Car_Sales[[#This Row],[Sale Price ($)]]*Africa_Car_Sales[[#This Row],[Units Sold]]</f>
        <v>19943</v>
      </c>
      <c r="P115" s="2">
        <f>Africa_Car_Sales[[#This Row],[Revenue($)]]-Africa_Car_Sales[[#This Row],[Total Cost Price ($)]]</f>
        <v>5943</v>
      </c>
      <c r="Q115" s="3">
        <f>Africa_Car_Sales[[#This Row],[Total Profit ($)]]/Africa_Car_Sales[[#This Row],[Revenue($)]]</f>
        <v>0.29799929799929797</v>
      </c>
      <c r="R115" s="10">
        <f>Africa_Car_Sales[[#This Row],[Sale Price ($)]]-Africa_Car_Sales[[#This Row],[Market Value ($)]]</f>
        <v>-57</v>
      </c>
      <c r="S115" s="5">
        <f>(Africa_Car_Sales[[#This Row],[Sale Price ($)]]-Africa_Car_Sales[[#This Row],[Market Value ($)]])/Africa_Car_Sales[[#This Row],[Market Value ($)]]</f>
        <v>-2.8500000000000001E-3</v>
      </c>
      <c r="T115" t="s">
        <v>116</v>
      </c>
    </row>
    <row r="116" spans="1:20" x14ac:dyDescent="0.35">
      <c r="A116" t="s">
        <v>401</v>
      </c>
      <c r="B116" s="1" t="s">
        <v>402</v>
      </c>
      <c r="C116" t="s">
        <v>403</v>
      </c>
      <c r="D116" t="s">
        <v>47</v>
      </c>
      <c r="E116" t="s">
        <v>48</v>
      </c>
      <c r="F116">
        <v>2018</v>
      </c>
      <c r="G116" t="s">
        <v>27</v>
      </c>
      <c r="H116" t="s">
        <v>62</v>
      </c>
      <c r="I116" t="s">
        <v>162</v>
      </c>
      <c r="J116">
        <v>3</v>
      </c>
      <c r="K116" s="2">
        <v>45000</v>
      </c>
      <c r="L116" s="2">
        <f>Africa_Car_Sales[[#This Row],[Cost Price ($)]]*Africa_Car_Sales[[#This Row],[Units Sold]]</f>
        <v>135000</v>
      </c>
      <c r="M116" s="2">
        <v>66257</v>
      </c>
      <c r="N116" s="2">
        <v>62000</v>
      </c>
      <c r="O116" s="2">
        <f>Africa_Car_Sales[[#This Row],[Sale Price ($)]]*Africa_Car_Sales[[#This Row],[Units Sold]]</f>
        <v>198771</v>
      </c>
      <c r="P116" s="2">
        <f>Africa_Car_Sales[[#This Row],[Revenue($)]]-Africa_Car_Sales[[#This Row],[Total Cost Price ($)]]</f>
        <v>63771</v>
      </c>
      <c r="Q116" s="3">
        <f>Africa_Car_Sales[[#This Row],[Total Profit ($)]]/Africa_Car_Sales[[#This Row],[Revenue($)]]</f>
        <v>0.32082647871168329</v>
      </c>
      <c r="R116" s="10">
        <f>Africa_Car_Sales[[#This Row],[Sale Price ($)]]-Africa_Car_Sales[[#This Row],[Market Value ($)]]</f>
        <v>4257</v>
      </c>
      <c r="S116" s="5">
        <f>(Africa_Car_Sales[[#This Row],[Sale Price ($)]]-Africa_Car_Sales[[#This Row],[Market Value ($)]])/Africa_Car_Sales[[#This Row],[Market Value ($)]]</f>
        <v>6.8661290322580643E-2</v>
      </c>
      <c r="T116" t="s">
        <v>49</v>
      </c>
    </row>
    <row r="117" spans="1:20" x14ac:dyDescent="0.35">
      <c r="A117" t="s">
        <v>404</v>
      </c>
      <c r="B117" s="1" t="s">
        <v>405</v>
      </c>
      <c r="C117" t="s">
        <v>406</v>
      </c>
      <c r="D117" t="s">
        <v>17</v>
      </c>
      <c r="E117" t="s">
        <v>42</v>
      </c>
      <c r="F117">
        <v>2018</v>
      </c>
      <c r="G117" t="s">
        <v>35</v>
      </c>
      <c r="H117" t="s">
        <v>62</v>
      </c>
      <c r="I117" t="s">
        <v>63</v>
      </c>
      <c r="J117">
        <v>1</v>
      </c>
      <c r="K117" s="2">
        <v>35000</v>
      </c>
      <c r="L117" s="2">
        <f>Africa_Car_Sales[[#This Row],[Cost Price ($)]]*Africa_Car_Sales[[#This Row],[Units Sold]]</f>
        <v>35000</v>
      </c>
      <c r="M117" s="2">
        <v>42421</v>
      </c>
      <c r="N117" s="2">
        <v>45000</v>
      </c>
      <c r="O117" s="2">
        <f>Africa_Car_Sales[[#This Row],[Sale Price ($)]]*Africa_Car_Sales[[#This Row],[Units Sold]]</f>
        <v>42421</v>
      </c>
      <c r="P117" s="2">
        <f>Africa_Car_Sales[[#This Row],[Revenue($)]]-Africa_Car_Sales[[#This Row],[Total Cost Price ($)]]</f>
        <v>7421</v>
      </c>
      <c r="Q117" s="3">
        <f>Africa_Car_Sales[[#This Row],[Total Profit ($)]]/Africa_Car_Sales[[#This Row],[Revenue($)]]</f>
        <v>0.17493694160910869</v>
      </c>
      <c r="R117" s="10">
        <f>Africa_Car_Sales[[#This Row],[Sale Price ($)]]-Africa_Car_Sales[[#This Row],[Market Value ($)]]</f>
        <v>-2579</v>
      </c>
      <c r="S117" s="5">
        <f>(Africa_Car_Sales[[#This Row],[Sale Price ($)]]-Africa_Car_Sales[[#This Row],[Market Value ($)]])/Africa_Car_Sales[[#This Row],[Market Value ($)]]</f>
        <v>-5.7311111111111111E-2</v>
      </c>
      <c r="T117" t="s">
        <v>43</v>
      </c>
    </row>
    <row r="118" spans="1:20" x14ac:dyDescent="0.35">
      <c r="A118" t="s">
        <v>407</v>
      </c>
      <c r="B118" s="1" t="s">
        <v>408</v>
      </c>
      <c r="C118" t="s">
        <v>409</v>
      </c>
      <c r="D118" t="s">
        <v>17</v>
      </c>
      <c r="E118" t="s">
        <v>18</v>
      </c>
      <c r="F118">
        <v>2022</v>
      </c>
      <c r="G118" t="s">
        <v>19</v>
      </c>
      <c r="H118" t="s">
        <v>82</v>
      </c>
      <c r="I118" t="s">
        <v>240</v>
      </c>
      <c r="J118">
        <v>5</v>
      </c>
      <c r="K118" s="2">
        <v>30000</v>
      </c>
      <c r="L118" s="2">
        <f>Africa_Car_Sales[[#This Row],[Cost Price ($)]]*Africa_Car_Sales[[#This Row],[Units Sold]]</f>
        <v>150000</v>
      </c>
      <c r="M118" s="2">
        <v>41418</v>
      </c>
      <c r="N118" s="2">
        <v>40000</v>
      </c>
      <c r="O118" s="2">
        <f>Africa_Car_Sales[[#This Row],[Sale Price ($)]]*Africa_Car_Sales[[#This Row],[Units Sold]]</f>
        <v>207090</v>
      </c>
      <c r="P118" s="2">
        <f>Africa_Car_Sales[[#This Row],[Revenue($)]]-Africa_Car_Sales[[#This Row],[Total Cost Price ($)]]</f>
        <v>57090</v>
      </c>
      <c r="Q118" s="3">
        <f>Africa_Car_Sales[[#This Row],[Total Profit ($)]]/Africa_Car_Sales[[#This Row],[Revenue($)]]</f>
        <v>0.27567724177893671</v>
      </c>
      <c r="R118" s="10">
        <f>Africa_Car_Sales[[#This Row],[Sale Price ($)]]-Africa_Car_Sales[[#This Row],[Market Value ($)]]</f>
        <v>1418</v>
      </c>
      <c r="S118" s="5">
        <f>(Africa_Car_Sales[[#This Row],[Sale Price ($)]]-Africa_Car_Sales[[#This Row],[Market Value ($)]])/Africa_Car_Sales[[#This Row],[Market Value ($)]]</f>
        <v>3.5450000000000002E-2</v>
      </c>
      <c r="T118" t="s">
        <v>22</v>
      </c>
    </row>
    <row r="119" spans="1:20" x14ac:dyDescent="0.35">
      <c r="A119" t="s">
        <v>410</v>
      </c>
      <c r="B119" s="1" t="s">
        <v>411</v>
      </c>
      <c r="C119" t="s">
        <v>293</v>
      </c>
      <c r="D119" t="s">
        <v>113</v>
      </c>
      <c r="E119" t="s">
        <v>114</v>
      </c>
      <c r="F119">
        <v>2021</v>
      </c>
      <c r="G119" t="s">
        <v>35</v>
      </c>
      <c r="H119" t="s">
        <v>28</v>
      </c>
      <c r="I119" t="s">
        <v>94</v>
      </c>
      <c r="J119">
        <v>5</v>
      </c>
      <c r="K119" s="2">
        <v>14000</v>
      </c>
      <c r="L119" s="2">
        <f>Africa_Car_Sales[[#This Row],[Cost Price ($)]]*Africa_Car_Sales[[#This Row],[Units Sold]]</f>
        <v>70000</v>
      </c>
      <c r="M119" s="2">
        <v>19757</v>
      </c>
      <c r="N119" s="2">
        <v>20000</v>
      </c>
      <c r="O119" s="2">
        <f>Africa_Car_Sales[[#This Row],[Sale Price ($)]]*Africa_Car_Sales[[#This Row],[Units Sold]]</f>
        <v>98785</v>
      </c>
      <c r="P119" s="2">
        <f>Africa_Car_Sales[[#This Row],[Revenue($)]]-Africa_Car_Sales[[#This Row],[Total Cost Price ($)]]</f>
        <v>28785</v>
      </c>
      <c r="Q119" s="3">
        <f>Africa_Car_Sales[[#This Row],[Total Profit ($)]]/Africa_Car_Sales[[#This Row],[Revenue($)]]</f>
        <v>0.29139039327833172</v>
      </c>
      <c r="R119" s="10">
        <f>Africa_Car_Sales[[#This Row],[Sale Price ($)]]-Africa_Car_Sales[[#This Row],[Market Value ($)]]</f>
        <v>-243</v>
      </c>
      <c r="S119" s="5">
        <f>(Africa_Car_Sales[[#This Row],[Sale Price ($)]]-Africa_Car_Sales[[#This Row],[Market Value ($)]])/Africa_Car_Sales[[#This Row],[Market Value ($)]]</f>
        <v>-1.2149999999999999E-2</v>
      </c>
      <c r="T119" t="s">
        <v>116</v>
      </c>
    </row>
    <row r="120" spans="1:20" x14ac:dyDescent="0.35">
      <c r="A120" t="s">
        <v>412</v>
      </c>
      <c r="B120" s="1" t="s">
        <v>413</v>
      </c>
      <c r="C120" t="s">
        <v>414</v>
      </c>
      <c r="D120" t="s">
        <v>17</v>
      </c>
      <c r="E120" t="s">
        <v>81</v>
      </c>
      <c r="F120">
        <v>2018</v>
      </c>
      <c r="G120" t="s">
        <v>27</v>
      </c>
      <c r="H120" t="s">
        <v>28</v>
      </c>
      <c r="I120" t="s">
        <v>94</v>
      </c>
      <c r="J120">
        <v>3</v>
      </c>
      <c r="K120" s="2">
        <v>65000</v>
      </c>
      <c r="L120" s="2">
        <f>Africa_Car_Sales[[#This Row],[Cost Price ($)]]*Africa_Car_Sales[[#This Row],[Units Sold]]</f>
        <v>195000</v>
      </c>
      <c r="M120" s="2">
        <v>85366</v>
      </c>
      <c r="N120" s="2">
        <v>85000</v>
      </c>
      <c r="O120" s="2">
        <f>Africa_Car_Sales[[#This Row],[Sale Price ($)]]*Africa_Car_Sales[[#This Row],[Units Sold]]</f>
        <v>256098</v>
      </c>
      <c r="P120" s="2">
        <f>Africa_Car_Sales[[#This Row],[Revenue($)]]-Africa_Car_Sales[[#This Row],[Total Cost Price ($)]]</f>
        <v>61098</v>
      </c>
      <c r="Q120" s="3">
        <f>Africa_Car_Sales[[#This Row],[Total Profit ($)]]/Africa_Car_Sales[[#This Row],[Revenue($)]]</f>
        <v>0.23857273387531336</v>
      </c>
      <c r="R120" s="10">
        <f>Africa_Car_Sales[[#This Row],[Sale Price ($)]]-Africa_Car_Sales[[#This Row],[Market Value ($)]]</f>
        <v>366</v>
      </c>
      <c r="S120" s="5">
        <f>(Africa_Car_Sales[[#This Row],[Sale Price ($)]]-Africa_Car_Sales[[#This Row],[Market Value ($)]])/Africa_Car_Sales[[#This Row],[Market Value ($)]]</f>
        <v>4.3058823529411767E-3</v>
      </c>
      <c r="T120" t="s">
        <v>84</v>
      </c>
    </row>
    <row r="121" spans="1:20" x14ac:dyDescent="0.35">
      <c r="A121" t="s">
        <v>415</v>
      </c>
      <c r="B121" s="1" t="s">
        <v>416</v>
      </c>
      <c r="C121" t="s">
        <v>417</v>
      </c>
      <c r="D121" t="s">
        <v>17</v>
      </c>
      <c r="E121" t="s">
        <v>18</v>
      </c>
      <c r="F121">
        <v>2018</v>
      </c>
      <c r="G121" t="s">
        <v>19</v>
      </c>
      <c r="H121" t="s">
        <v>82</v>
      </c>
      <c r="I121" t="s">
        <v>240</v>
      </c>
      <c r="J121">
        <v>1</v>
      </c>
      <c r="K121" s="2">
        <v>30000</v>
      </c>
      <c r="L121" s="2">
        <f>Africa_Car_Sales[[#This Row],[Cost Price ($)]]*Africa_Car_Sales[[#This Row],[Units Sold]]</f>
        <v>30000</v>
      </c>
      <c r="M121" s="2">
        <v>38652</v>
      </c>
      <c r="N121" s="2">
        <v>40000</v>
      </c>
      <c r="O121" s="2">
        <f>Africa_Car_Sales[[#This Row],[Sale Price ($)]]*Africa_Car_Sales[[#This Row],[Units Sold]]</f>
        <v>38652</v>
      </c>
      <c r="P121" s="2">
        <f>Africa_Car_Sales[[#This Row],[Revenue($)]]-Africa_Car_Sales[[#This Row],[Total Cost Price ($)]]</f>
        <v>8652</v>
      </c>
      <c r="Q121" s="3">
        <f>Africa_Car_Sales[[#This Row],[Total Profit ($)]]/Africa_Car_Sales[[#This Row],[Revenue($)]]</f>
        <v>0.22384352685501396</v>
      </c>
      <c r="R121" s="10">
        <f>Africa_Car_Sales[[#This Row],[Sale Price ($)]]-Africa_Car_Sales[[#This Row],[Market Value ($)]]</f>
        <v>-1348</v>
      </c>
      <c r="S121" s="5">
        <f>(Africa_Car_Sales[[#This Row],[Sale Price ($)]]-Africa_Car_Sales[[#This Row],[Market Value ($)]])/Africa_Car_Sales[[#This Row],[Market Value ($)]]</f>
        <v>-3.3700000000000001E-2</v>
      </c>
      <c r="T121" t="s">
        <v>22</v>
      </c>
    </row>
    <row r="122" spans="1:20" x14ac:dyDescent="0.35">
      <c r="A122" t="s">
        <v>418</v>
      </c>
      <c r="B122" s="1" t="s">
        <v>419</v>
      </c>
      <c r="C122" t="s">
        <v>420</v>
      </c>
      <c r="D122" t="s">
        <v>47</v>
      </c>
      <c r="E122" t="s">
        <v>76</v>
      </c>
      <c r="F122">
        <v>2018</v>
      </c>
      <c r="G122" t="s">
        <v>35</v>
      </c>
      <c r="H122" t="s">
        <v>36</v>
      </c>
      <c r="I122" t="s">
        <v>89</v>
      </c>
      <c r="J122">
        <v>3</v>
      </c>
      <c r="K122" s="2">
        <v>15000</v>
      </c>
      <c r="L122" s="2">
        <f>Africa_Car_Sales[[#This Row],[Cost Price ($)]]*Africa_Car_Sales[[#This Row],[Units Sold]]</f>
        <v>45000</v>
      </c>
      <c r="M122" s="2">
        <v>23173</v>
      </c>
      <c r="N122" s="2">
        <v>22000</v>
      </c>
      <c r="O122" s="2">
        <f>Africa_Car_Sales[[#This Row],[Sale Price ($)]]*Africa_Car_Sales[[#This Row],[Units Sold]]</f>
        <v>69519</v>
      </c>
      <c r="P122" s="2">
        <f>Africa_Car_Sales[[#This Row],[Revenue($)]]-Africa_Car_Sales[[#This Row],[Total Cost Price ($)]]</f>
        <v>24519</v>
      </c>
      <c r="Q122" s="3">
        <f>Africa_Car_Sales[[#This Row],[Total Profit ($)]]/Africa_Car_Sales[[#This Row],[Revenue($)]]</f>
        <v>0.35269494670521728</v>
      </c>
      <c r="R122" s="10">
        <f>Africa_Car_Sales[[#This Row],[Sale Price ($)]]-Africa_Car_Sales[[#This Row],[Market Value ($)]]</f>
        <v>1173</v>
      </c>
      <c r="S122" s="5">
        <f>(Africa_Car_Sales[[#This Row],[Sale Price ($)]]-Africa_Car_Sales[[#This Row],[Market Value ($)]])/Africa_Car_Sales[[#This Row],[Market Value ($)]]</f>
        <v>5.331818181818182E-2</v>
      </c>
      <c r="T122" t="s">
        <v>77</v>
      </c>
    </row>
    <row r="123" spans="1:20" x14ac:dyDescent="0.35">
      <c r="A123" t="s">
        <v>421</v>
      </c>
      <c r="B123" s="1" t="s">
        <v>422</v>
      </c>
      <c r="C123" t="s">
        <v>423</v>
      </c>
      <c r="D123" t="s">
        <v>17</v>
      </c>
      <c r="E123" t="s">
        <v>53</v>
      </c>
      <c r="F123">
        <v>2020</v>
      </c>
      <c r="G123" t="s">
        <v>35</v>
      </c>
      <c r="H123" t="s">
        <v>28</v>
      </c>
      <c r="I123" t="s">
        <v>94</v>
      </c>
      <c r="J123">
        <v>4</v>
      </c>
      <c r="K123" s="2">
        <v>70000</v>
      </c>
      <c r="L123" s="2">
        <f>Africa_Car_Sales[[#This Row],[Cost Price ($)]]*Africa_Car_Sales[[#This Row],[Units Sold]]</f>
        <v>280000</v>
      </c>
      <c r="M123" s="2">
        <v>96116</v>
      </c>
      <c r="N123" s="2">
        <v>95000</v>
      </c>
      <c r="O123" s="2">
        <f>Africa_Car_Sales[[#This Row],[Sale Price ($)]]*Africa_Car_Sales[[#This Row],[Units Sold]]</f>
        <v>384464</v>
      </c>
      <c r="P123" s="2">
        <f>Africa_Car_Sales[[#This Row],[Revenue($)]]-Africa_Car_Sales[[#This Row],[Total Cost Price ($)]]</f>
        <v>104464</v>
      </c>
      <c r="Q123" s="3">
        <f>Africa_Car_Sales[[#This Row],[Total Profit ($)]]/Africa_Car_Sales[[#This Row],[Revenue($)]]</f>
        <v>0.27171334637313249</v>
      </c>
      <c r="R123" s="10">
        <f>Africa_Car_Sales[[#This Row],[Sale Price ($)]]-Africa_Car_Sales[[#This Row],[Market Value ($)]]</f>
        <v>1116</v>
      </c>
      <c r="S123" s="5">
        <f>(Africa_Car_Sales[[#This Row],[Sale Price ($)]]-Africa_Car_Sales[[#This Row],[Market Value ($)]])/Africa_Car_Sales[[#This Row],[Market Value ($)]]</f>
        <v>1.1747368421052631E-2</v>
      </c>
      <c r="T123" t="s">
        <v>55</v>
      </c>
    </row>
    <row r="124" spans="1:20" x14ac:dyDescent="0.35">
      <c r="A124" t="s">
        <v>424</v>
      </c>
      <c r="B124" s="1" t="s">
        <v>425</v>
      </c>
      <c r="C124" t="s">
        <v>426</v>
      </c>
      <c r="D124" t="s">
        <v>17</v>
      </c>
      <c r="E124" t="s">
        <v>42</v>
      </c>
      <c r="F124">
        <v>2019</v>
      </c>
      <c r="G124" t="s">
        <v>35</v>
      </c>
      <c r="H124" t="s">
        <v>67</v>
      </c>
      <c r="I124" t="s">
        <v>115</v>
      </c>
      <c r="J124">
        <v>1</v>
      </c>
      <c r="K124" s="2">
        <v>35000</v>
      </c>
      <c r="L124" s="2">
        <f>Africa_Car_Sales[[#This Row],[Cost Price ($)]]*Africa_Car_Sales[[#This Row],[Units Sold]]</f>
        <v>35000</v>
      </c>
      <c r="M124" s="2">
        <v>44544</v>
      </c>
      <c r="N124" s="2">
        <v>45000</v>
      </c>
      <c r="O124" s="2">
        <f>Africa_Car_Sales[[#This Row],[Sale Price ($)]]*Africa_Car_Sales[[#This Row],[Units Sold]]</f>
        <v>44544</v>
      </c>
      <c r="P124" s="2">
        <f>Africa_Car_Sales[[#This Row],[Revenue($)]]-Africa_Car_Sales[[#This Row],[Total Cost Price ($)]]</f>
        <v>9544</v>
      </c>
      <c r="Q124" s="3">
        <f>Africa_Car_Sales[[#This Row],[Total Profit ($)]]/Africa_Car_Sales[[#This Row],[Revenue($)]]</f>
        <v>0.21426005747126436</v>
      </c>
      <c r="R124" s="10">
        <f>Africa_Car_Sales[[#This Row],[Sale Price ($)]]-Africa_Car_Sales[[#This Row],[Market Value ($)]]</f>
        <v>-456</v>
      </c>
      <c r="S124" s="5">
        <f>(Africa_Car_Sales[[#This Row],[Sale Price ($)]]-Africa_Car_Sales[[#This Row],[Market Value ($)]])/Africa_Car_Sales[[#This Row],[Market Value ($)]]</f>
        <v>-1.0133333333333333E-2</v>
      </c>
      <c r="T124" t="s">
        <v>43</v>
      </c>
    </row>
    <row r="125" spans="1:20" x14ac:dyDescent="0.35">
      <c r="A125" t="s">
        <v>427</v>
      </c>
      <c r="B125" s="1" t="s">
        <v>428</v>
      </c>
      <c r="C125" t="s">
        <v>429</v>
      </c>
      <c r="D125" t="s">
        <v>17</v>
      </c>
      <c r="E125" t="s">
        <v>98</v>
      </c>
      <c r="F125">
        <v>2022</v>
      </c>
      <c r="G125" t="s">
        <v>27</v>
      </c>
      <c r="H125" t="s">
        <v>20</v>
      </c>
      <c r="I125" t="s">
        <v>99</v>
      </c>
      <c r="J125">
        <v>1</v>
      </c>
      <c r="K125" s="2">
        <v>48000</v>
      </c>
      <c r="L125" s="2">
        <f>Africa_Car_Sales[[#This Row],[Cost Price ($)]]*Africa_Car_Sales[[#This Row],[Units Sold]]</f>
        <v>48000</v>
      </c>
      <c r="M125" s="2">
        <v>57798</v>
      </c>
      <c r="N125" s="2">
        <v>62000</v>
      </c>
      <c r="O125" s="2">
        <f>Africa_Car_Sales[[#This Row],[Sale Price ($)]]*Africa_Car_Sales[[#This Row],[Units Sold]]</f>
        <v>57798</v>
      </c>
      <c r="P125" s="2">
        <f>Africa_Car_Sales[[#This Row],[Revenue($)]]-Africa_Car_Sales[[#This Row],[Total Cost Price ($)]]</f>
        <v>9798</v>
      </c>
      <c r="Q125" s="3">
        <f>Africa_Car_Sales[[#This Row],[Total Profit ($)]]/Africa_Car_Sales[[#This Row],[Revenue($)]]</f>
        <v>0.16952143672791445</v>
      </c>
      <c r="R125" s="10">
        <f>Africa_Car_Sales[[#This Row],[Sale Price ($)]]-Africa_Car_Sales[[#This Row],[Market Value ($)]]</f>
        <v>-4202</v>
      </c>
      <c r="S125" s="5">
        <f>(Africa_Car_Sales[[#This Row],[Sale Price ($)]]-Africa_Car_Sales[[#This Row],[Market Value ($)]])/Africa_Car_Sales[[#This Row],[Market Value ($)]]</f>
        <v>-6.7774193548387096E-2</v>
      </c>
      <c r="T125" t="s">
        <v>100</v>
      </c>
    </row>
    <row r="126" spans="1:20" x14ac:dyDescent="0.35">
      <c r="A126" t="s">
        <v>430</v>
      </c>
      <c r="B126" s="1" t="s">
        <v>431</v>
      </c>
      <c r="C126" t="s">
        <v>432</v>
      </c>
      <c r="D126" t="s">
        <v>17</v>
      </c>
      <c r="E126" t="s">
        <v>26</v>
      </c>
      <c r="F126">
        <v>2024</v>
      </c>
      <c r="G126" t="s">
        <v>27</v>
      </c>
      <c r="H126" t="s">
        <v>28</v>
      </c>
      <c r="I126" t="s">
        <v>54</v>
      </c>
      <c r="J126">
        <v>2</v>
      </c>
      <c r="K126" s="2">
        <v>40000</v>
      </c>
      <c r="L126" s="2">
        <f>Africa_Car_Sales[[#This Row],[Cost Price ($)]]*Africa_Car_Sales[[#This Row],[Units Sold]]</f>
        <v>80000</v>
      </c>
      <c r="M126" s="2">
        <v>49284</v>
      </c>
      <c r="N126" s="2">
        <v>52000</v>
      </c>
      <c r="O126" s="2">
        <f>Africa_Car_Sales[[#This Row],[Sale Price ($)]]*Africa_Car_Sales[[#This Row],[Units Sold]]</f>
        <v>98568</v>
      </c>
      <c r="P126" s="2">
        <f>Africa_Car_Sales[[#This Row],[Revenue($)]]-Africa_Car_Sales[[#This Row],[Total Cost Price ($)]]</f>
        <v>18568</v>
      </c>
      <c r="Q126" s="3">
        <f>Africa_Car_Sales[[#This Row],[Total Profit ($)]]/Africa_Car_Sales[[#This Row],[Revenue($)]]</f>
        <v>0.18837756675594514</v>
      </c>
      <c r="R126" s="10">
        <f>Africa_Car_Sales[[#This Row],[Sale Price ($)]]-Africa_Car_Sales[[#This Row],[Market Value ($)]]</f>
        <v>-2716</v>
      </c>
      <c r="S126" s="5">
        <f>(Africa_Car_Sales[[#This Row],[Sale Price ($)]]-Africa_Car_Sales[[#This Row],[Market Value ($)]])/Africa_Car_Sales[[#This Row],[Market Value ($)]]</f>
        <v>-5.2230769230769233E-2</v>
      </c>
      <c r="T126" t="s">
        <v>30</v>
      </c>
    </row>
    <row r="127" spans="1:20" x14ac:dyDescent="0.35">
      <c r="A127" t="s">
        <v>433</v>
      </c>
      <c r="B127" s="1" t="s">
        <v>434</v>
      </c>
      <c r="C127" t="s">
        <v>435</v>
      </c>
      <c r="D127" t="s">
        <v>47</v>
      </c>
      <c r="E127" t="s">
        <v>48</v>
      </c>
      <c r="F127">
        <v>2020</v>
      </c>
      <c r="G127" t="s">
        <v>27</v>
      </c>
      <c r="H127" t="s">
        <v>36</v>
      </c>
      <c r="I127" t="s">
        <v>89</v>
      </c>
      <c r="J127">
        <v>5</v>
      </c>
      <c r="K127" s="2">
        <v>45000</v>
      </c>
      <c r="L127" s="2">
        <f>Africa_Car_Sales[[#This Row],[Cost Price ($)]]*Africa_Car_Sales[[#This Row],[Units Sold]]</f>
        <v>225000</v>
      </c>
      <c r="M127" s="2">
        <v>63418</v>
      </c>
      <c r="N127" s="2">
        <v>62000</v>
      </c>
      <c r="O127" s="2">
        <f>Africa_Car_Sales[[#This Row],[Sale Price ($)]]*Africa_Car_Sales[[#This Row],[Units Sold]]</f>
        <v>317090</v>
      </c>
      <c r="P127" s="2">
        <f>Africa_Car_Sales[[#This Row],[Revenue($)]]-Africa_Car_Sales[[#This Row],[Total Cost Price ($)]]</f>
        <v>92090</v>
      </c>
      <c r="Q127" s="3">
        <f>Africa_Car_Sales[[#This Row],[Total Profit ($)]]/Africa_Car_Sales[[#This Row],[Revenue($)]]</f>
        <v>0.290422277586805</v>
      </c>
      <c r="R127" s="10">
        <f>Africa_Car_Sales[[#This Row],[Sale Price ($)]]-Africa_Car_Sales[[#This Row],[Market Value ($)]]</f>
        <v>1418</v>
      </c>
      <c r="S127" s="5">
        <f>(Africa_Car_Sales[[#This Row],[Sale Price ($)]]-Africa_Car_Sales[[#This Row],[Market Value ($)]])/Africa_Car_Sales[[#This Row],[Market Value ($)]]</f>
        <v>2.2870967741935484E-2</v>
      </c>
      <c r="T127" t="s">
        <v>49</v>
      </c>
    </row>
    <row r="128" spans="1:20" x14ac:dyDescent="0.35">
      <c r="A128" t="s">
        <v>436</v>
      </c>
      <c r="B128" s="1" t="s">
        <v>437</v>
      </c>
      <c r="C128" t="s">
        <v>438</v>
      </c>
      <c r="D128" t="s">
        <v>17</v>
      </c>
      <c r="E128" t="s">
        <v>18</v>
      </c>
      <c r="F128">
        <v>2022</v>
      </c>
      <c r="G128" t="s">
        <v>19</v>
      </c>
      <c r="H128" t="s">
        <v>67</v>
      </c>
      <c r="I128" t="s">
        <v>127</v>
      </c>
      <c r="J128">
        <v>3</v>
      </c>
      <c r="K128" s="2">
        <v>30000</v>
      </c>
      <c r="L128" s="2">
        <f>Africa_Car_Sales[[#This Row],[Cost Price ($)]]*Africa_Car_Sales[[#This Row],[Units Sold]]</f>
        <v>90000</v>
      </c>
      <c r="M128" s="2">
        <v>40585</v>
      </c>
      <c r="N128" s="2">
        <v>40000</v>
      </c>
      <c r="O128" s="2">
        <f>Africa_Car_Sales[[#This Row],[Sale Price ($)]]*Africa_Car_Sales[[#This Row],[Units Sold]]</f>
        <v>121755</v>
      </c>
      <c r="P128" s="2">
        <f>Africa_Car_Sales[[#This Row],[Revenue($)]]-Africa_Car_Sales[[#This Row],[Total Cost Price ($)]]</f>
        <v>31755</v>
      </c>
      <c r="Q128" s="3">
        <f>Africa_Car_Sales[[#This Row],[Total Profit ($)]]/Africa_Car_Sales[[#This Row],[Revenue($)]]</f>
        <v>0.26081064432672169</v>
      </c>
      <c r="R128" s="10">
        <f>Africa_Car_Sales[[#This Row],[Sale Price ($)]]-Africa_Car_Sales[[#This Row],[Market Value ($)]]</f>
        <v>585</v>
      </c>
      <c r="S128" s="5">
        <f>(Africa_Car_Sales[[#This Row],[Sale Price ($)]]-Africa_Car_Sales[[#This Row],[Market Value ($)]])/Africa_Car_Sales[[#This Row],[Market Value ($)]]</f>
        <v>1.4625000000000001E-2</v>
      </c>
      <c r="T128" t="s">
        <v>22</v>
      </c>
    </row>
    <row r="129" spans="1:20" x14ac:dyDescent="0.35">
      <c r="A129" t="s">
        <v>439</v>
      </c>
      <c r="B129" s="1" t="s">
        <v>440</v>
      </c>
      <c r="C129" t="s">
        <v>441</v>
      </c>
      <c r="D129" t="s">
        <v>113</v>
      </c>
      <c r="E129" t="s">
        <v>114</v>
      </c>
      <c r="F129">
        <v>2022</v>
      </c>
      <c r="G129" t="s">
        <v>35</v>
      </c>
      <c r="H129" t="s">
        <v>82</v>
      </c>
      <c r="I129" t="s">
        <v>83</v>
      </c>
      <c r="J129">
        <v>1</v>
      </c>
      <c r="K129" s="2">
        <v>14000</v>
      </c>
      <c r="L129" s="2">
        <f>Africa_Car_Sales[[#This Row],[Cost Price ($)]]*Africa_Car_Sales[[#This Row],[Units Sold]]</f>
        <v>14000</v>
      </c>
      <c r="M129" s="2">
        <v>21166</v>
      </c>
      <c r="N129" s="2">
        <v>20000</v>
      </c>
      <c r="O129" s="2">
        <f>Africa_Car_Sales[[#This Row],[Sale Price ($)]]*Africa_Car_Sales[[#This Row],[Units Sold]]</f>
        <v>21166</v>
      </c>
      <c r="P129" s="2">
        <f>Africa_Car_Sales[[#This Row],[Revenue($)]]-Africa_Car_Sales[[#This Row],[Total Cost Price ($)]]</f>
        <v>7166</v>
      </c>
      <c r="Q129" s="3">
        <f>Africa_Car_Sales[[#This Row],[Total Profit ($)]]/Africa_Car_Sales[[#This Row],[Revenue($)]]</f>
        <v>0.33856184446754228</v>
      </c>
      <c r="R129" s="10">
        <f>Africa_Car_Sales[[#This Row],[Sale Price ($)]]-Africa_Car_Sales[[#This Row],[Market Value ($)]]</f>
        <v>1166</v>
      </c>
      <c r="S129" s="5">
        <f>(Africa_Car_Sales[[#This Row],[Sale Price ($)]]-Africa_Car_Sales[[#This Row],[Market Value ($)]])/Africa_Car_Sales[[#This Row],[Market Value ($)]]</f>
        <v>5.8299999999999998E-2</v>
      </c>
      <c r="T129" t="s">
        <v>116</v>
      </c>
    </row>
    <row r="130" spans="1:20" x14ac:dyDescent="0.35">
      <c r="A130" t="s">
        <v>442</v>
      </c>
      <c r="B130" s="1" t="s">
        <v>443</v>
      </c>
      <c r="C130" t="s">
        <v>236</v>
      </c>
      <c r="D130" t="s">
        <v>47</v>
      </c>
      <c r="E130" t="s">
        <v>48</v>
      </c>
      <c r="F130">
        <v>2018</v>
      </c>
      <c r="G130" t="s">
        <v>27</v>
      </c>
      <c r="H130" t="s">
        <v>36</v>
      </c>
      <c r="I130" t="s">
        <v>89</v>
      </c>
      <c r="J130">
        <v>2</v>
      </c>
      <c r="K130" s="2">
        <v>45000</v>
      </c>
      <c r="L130" s="2">
        <f>Africa_Car_Sales[[#This Row],[Cost Price ($)]]*Africa_Car_Sales[[#This Row],[Units Sold]]</f>
        <v>90000</v>
      </c>
      <c r="M130" s="2">
        <v>61758</v>
      </c>
      <c r="N130" s="2">
        <v>62000</v>
      </c>
      <c r="O130" s="2">
        <f>Africa_Car_Sales[[#This Row],[Sale Price ($)]]*Africa_Car_Sales[[#This Row],[Units Sold]]</f>
        <v>123516</v>
      </c>
      <c r="P130" s="2">
        <f>Africa_Car_Sales[[#This Row],[Revenue($)]]-Africa_Car_Sales[[#This Row],[Total Cost Price ($)]]</f>
        <v>33516</v>
      </c>
      <c r="Q130" s="3">
        <f>Africa_Car_Sales[[#This Row],[Total Profit ($)]]/Africa_Car_Sales[[#This Row],[Revenue($)]]</f>
        <v>0.27134946079860101</v>
      </c>
      <c r="R130" s="10">
        <f>Africa_Car_Sales[[#This Row],[Sale Price ($)]]-Africa_Car_Sales[[#This Row],[Market Value ($)]]</f>
        <v>-242</v>
      </c>
      <c r="S130" s="5">
        <f>(Africa_Car_Sales[[#This Row],[Sale Price ($)]]-Africa_Car_Sales[[#This Row],[Market Value ($)]])/Africa_Car_Sales[[#This Row],[Market Value ($)]]</f>
        <v>-3.9032258064516127E-3</v>
      </c>
      <c r="T130" t="s">
        <v>49</v>
      </c>
    </row>
    <row r="131" spans="1:20" x14ac:dyDescent="0.35">
      <c r="A131" t="s">
        <v>444</v>
      </c>
      <c r="B131" s="1" t="s">
        <v>445</v>
      </c>
      <c r="C131" t="s">
        <v>446</v>
      </c>
      <c r="D131" t="s">
        <v>113</v>
      </c>
      <c r="E131" t="s">
        <v>176</v>
      </c>
      <c r="F131">
        <v>2022</v>
      </c>
      <c r="G131" t="s">
        <v>27</v>
      </c>
      <c r="H131" t="s">
        <v>62</v>
      </c>
      <c r="I131" t="s">
        <v>63</v>
      </c>
      <c r="J131">
        <v>4</v>
      </c>
      <c r="K131" s="2">
        <v>20000</v>
      </c>
      <c r="L131" s="2">
        <f>Africa_Car_Sales[[#This Row],[Cost Price ($)]]*Africa_Car_Sales[[#This Row],[Units Sold]]</f>
        <v>80000</v>
      </c>
      <c r="M131" s="2">
        <v>27721</v>
      </c>
      <c r="N131" s="2">
        <v>28000</v>
      </c>
      <c r="O131" s="2">
        <f>Africa_Car_Sales[[#This Row],[Sale Price ($)]]*Africa_Car_Sales[[#This Row],[Units Sold]]</f>
        <v>110884</v>
      </c>
      <c r="P131" s="2">
        <f>Africa_Car_Sales[[#This Row],[Revenue($)]]-Africa_Car_Sales[[#This Row],[Total Cost Price ($)]]</f>
        <v>30884</v>
      </c>
      <c r="Q131" s="3">
        <f>Africa_Car_Sales[[#This Row],[Total Profit ($)]]/Africa_Car_Sales[[#This Row],[Revenue($)]]</f>
        <v>0.2785253057249017</v>
      </c>
      <c r="R131" s="10">
        <f>Africa_Car_Sales[[#This Row],[Sale Price ($)]]-Africa_Car_Sales[[#This Row],[Market Value ($)]]</f>
        <v>-279</v>
      </c>
      <c r="S131" s="5">
        <f>(Africa_Car_Sales[[#This Row],[Sale Price ($)]]-Africa_Car_Sales[[#This Row],[Market Value ($)]])/Africa_Car_Sales[[#This Row],[Market Value ($)]]</f>
        <v>-9.9642857142857137E-3</v>
      </c>
      <c r="T131" t="s">
        <v>177</v>
      </c>
    </row>
    <row r="132" spans="1:20" x14ac:dyDescent="0.35">
      <c r="A132" t="s">
        <v>447</v>
      </c>
      <c r="B132" s="1" t="s">
        <v>448</v>
      </c>
      <c r="C132" t="s">
        <v>449</v>
      </c>
      <c r="D132" t="s">
        <v>113</v>
      </c>
      <c r="E132" t="s">
        <v>114</v>
      </c>
      <c r="F132">
        <v>2018</v>
      </c>
      <c r="G132" t="s">
        <v>35</v>
      </c>
      <c r="H132" t="s">
        <v>67</v>
      </c>
      <c r="I132" t="s">
        <v>127</v>
      </c>
      <c r="J132">
        <v>3</v>
      </c>
      <c r="K132" s="2">
        <v>14000</v>
      </c>
      <c r="L132" s="2">
        <f>Africa_Car_Sales[[#This Row],[Cost Price ($)]]*Africa_Car_Sales[[#This Row],[Units Sold]]</f>
        <v>42000</v>
      </c>
      <c r="M132" s="2">
        <v>20313</v>
      </c>
      <c r="N132" s="2">
        <v>20000</v>
      </c>
      <c r="O132" s="2">
        <f>Africa_Car_Sales[[#This Row],[Sale Price ($)]]*Africa_Car_Sales[[#This Row],[Units Sold]]</f>
        <v>60939</v>
      </c>
      <c r="P132" s="2">
        <f>Africa_Car_Sales[[#This Row],[Revenue($)]]-Africa_Car_Sales[[#This Row],[Total Cost Price ($)]]</f>
        <v>18939</v>
      </c>
      <c r="Q132" s="3">
        <f>Africa_Car_Sales[[#This Row],[Total Profit ($)]]/Africa_Car_Sales[[#This Row],[Revenue($)]]</f>
        <v>0.31078619603209767</v>
      </c>
      <c r="R132" s="10">
        <f>Africa_Car_Sales[[#This Row],[Sale Price ($)]]-Africa_Car_Sales[[#This Row],[Market Value ($)]]</f>
        <v>313</v>
      </c>
      <c r="S132" s="5">
        <f>(Africa_Car_Sales[[#This Row],[Sale Price ($)]]-Africa_Car_Sales[[#This Row],[Market Value ($)]])/Africa_Car_Sales[[#This Row],[Market Value ($)]]</f>
        <v>1.5650000000000001E-2</v>
      </c>
      <c r="T132" t="s">
        <v>116</v>
      </c>
    </row>
    <row r="133" spans="1:20" x14ac:dyDescent="0.35">
      <c r="A133" t="s">
        <v>450</v>
      </c>
      <c r="B133" s="1" t="s">
        <v>451</v>
      </c>
      <c r="C133" t="s">
        <v>80</v>
      </c>
      <c r="D133" t="s">
        <v>47</v>
      </c>
      <c r="E133" t="s">
        <v>48</v>
      </c>
      <c r="F133">
        <v>2018</v>
      </c>
      <c r="G133" t="s">
        <v>27</v>
      </c>
      <c r="H133" t="s">
        <v>20</v>
      </c>
      <c r="I133" t="s">
        <v>137</v>
      </c>
      <c r="J133">
        <v>3</v>
      </c>
      <c r="K133" s="2">
        <v>45000</v>
      </c>
      <c r="L133" s="2">
        <f>Africa_Car_Sales[[#This Row],[Cost Price ($)]]*Africa_Car_Sales[[#This Row],[Units Sold]]</f>
        <v>135000</v>
      </c>
      <c r="M133" s="2">
        <v>65703</v>
      </c>
      <c r="N133" s="2">
        <v>62000</v>
      </c>
      <c r="O133" s="2">
        <f>Africa_Car_Sales[[#This Row],[Sale Price ($)]]*Africa_Car_Sales[[#This Row],[Units Sold]]</f>
        <v>197109</v>
      </c>
      <c r="P133" s="2">
        <f>Africa_Car_Sales[[#This Row],[Revenue($)]]-Africa_Car_Sales[[#This Row],[Total Cost Price ($)]]</f>
        <v>62109</v>
      </c>
      <c r="Q133" s="3">
        <f>Africa_Car_Sales[[#This Row],[Total Profit ($)]]/Africa_Car_Sales[[#This Row],[Revenue($)]]</f>
        <v>0.31509976713392085</v>
      </c>
      <c r="R133" s="10">
        <f>Africa_Car_Sales[[#This Row],[Sale Price ($)]]-Africa_Car_Sales[[#This Row],[Market Value ($)]]</f>
        <v>3703</v>
      </c>
      <c r="S133" s="5">
        <f>(Africa_Car_Sales[[#This Row],[Sale Price ($)]]-Africa_Car_Sales[[#This Row],[Market Value ($)]])/Africa_Car_Sales[[#This Row],[Market Value ($)]]</f>
        <v>5.9725806451612906E-2</v>
      </c>
      <c r="T133" t="s">
        <v>49</v>
      </c>
    </row>
    <row r="134" spans="1:20" x14ac:dyDescent="0.35">
      <c r="A134" t="s">
        <v>452</v>
      </c>
      <c r="B134" s="1" t="s">
        <v>453</v>
      </c>
      <c r="C134" t="s">
        <v>454</v>
      </c>
      <c r="D134" t="s">
        <v>47</v>
      </c>
      <c r="E134" t="s">
        <v>48</v>
      </c>
      <c r="F134">
        <v>2020</v>
      </c>
      <c r="G134" t="s">
        <v>27</v>
      </c>
      <c r="H134" t="s">
        <v>20</v>
      </c>
      <c r="I134" t="s">
        <v>137</v>
      </c>
      <c r="J134">
        <v>1</v>
      </c>
      <c r="K134" s="2">
        <v>45000</v>
      </c>
      <c r="L134" s="2">
        <f>Africa_Car_Sales[[#This Row],[Cost Price ($)]]*Africa_Car_Sales[[#This Row],[Units Sold]]</f>
        <v>45000</v>
      </c>
      <c r="M134" s="2">
        <v>64072</v>
      </c>
      <c r="N134" s="2">
        <v>62000</v>
      </c>
      <c r="O134" s="2">
        <f>Africa_Car_Sales[[#This Row],[Sale Price ($)]]*Africa_Car_Sales[[#This Row],[Units Sold]]</f>
        <v>64072</v>
      </c>
      <c r="P134" s="2">
        <f>Africa_Car_Sales[[#This Row],[Revenue($)]]-Africa_Car_Sales[[#This Row],[Total Cost Price ($)]]</f>
        <v>19072</v>
      </c>
      <c r="Q134" s="3">
        <f>Africa_Car_Sales[[#This Row],[Total Profit ($)]]/Africa_Car_Sales[[#This Row],[Revenue($)]]</f>
        <v>0.29766512673242601</v>
      </c>
      <c r="R134" s="10">
        <f>Africa_Car_Sales[[#This Row],[Sale Price ($)]]-Africa_Car_Sales[[#This Row],[Market Value ($)]]</f>
        <v>2072</v>
      </c>
      <c r="S134" s="5">
        <f>(Africa_Car_Sales[[#This Row],[Sale Price ($)]]-Africa_Car_Sales[[#This Row],[Market Value ($)]])/Africa_Car_Sales[[#This Row],[Market Value ($)]]</f>
        <v>3.3419354838709676E-2</v>
      </c>
      <c r="T134" t="s">
        <v>49</v>
      </c>
    </row>
    <row r="135" spans="1:20" x14ac:dyDescent="0.35">
      <c r="A135" t="s">
        <v>455</v>
      </c>
      <c r="B135" s="1" t="s">
        <v>456</v>
      </c>
      <c r="C135" t="s">
        <v>93</v>
      </c>
      <c r="D135" t="s">
        <v>17</v>
      </c>
      <c r="E135" t="s">
        <v>34</v>
      </c>
      <c r="F135">
        <v>2019</v>
      </c>
      <c r="G135" t="s">
        <v>35</v>
      </c>
      <c r="H135" t="s">
        <v>20</v>
      </c>
      <c r="I135" t="s">
        <v>99</v>
      </c>
      <c r="J135">
        <v>2</v>
      </c>
      <c r="K135" s="2">
        <v>22000</v>
      </c>
      <c r="L135" s="2">
        <f>Africa_Car_Sales[[#This Row],[Cost Price ($)]]*Africa_Car_Sales[[#This Row],[Units Sold]]</f>
        <v>44000</v>
      </c>
      <c r="M135" s="2">
        <v>27384</v>
      </c>
      <c r="N135" s="2">
        <v>28000</v>
      </c>
      <c r="O135" s="2">
        <f>Africa_Car_Sales[[#This Row],[Sale Price ($)]]*Africa_Car_Sales[[#This Row],[Units Sold]]</f>
        <v>54768</v>
      </c>
      <c r="P135" s="2">
        <f>Africa_Car_Sales[[#This Row],[Revenue($)]]-Africa_Car_Sales[[#This Row],[Total Cost Price ($)]]</f>
        <v>10768</v>
      </c>
      <c r="Q135" s="3">
        <f>Africa_Car_Sales[[#This Row],[Total Profit ($)]]/Africa_Car_Sales[[#This Row],[Revenue($)]]</f>
        <v>0.19661115980134386</v>
      </c>
      <c r="R135" s="10">
        <f>Africa_Car_Sales[[#This Row],[Sale Price ($)]]-Africa_Car_Sales[[#This Row],[Market Value ($)]]</f>
        <v>-616</v>
      </c>
      <c r="S135" s="5">
        <f>(Africa_Car_Sales[[#This Row],[Sale Price ($)]]-Africa_Car_Sales[[#This Row],[Market Value ($)]])/Africa_Car_Sales[[#This Row],[Market Value ($)]]</f>
        <v>-2.1999999999999999E-2</v>
      </c>
      <c r="T135" t="s">
        <v>38</v>
      </c>
    </row>
    <row r="136" spans="1:20" x14ac:dyDescent="0.35">
      <c r="A136" t="s">
        <v>457</v>
      </c>
      <c r="B136" s="1" t="s">
        <v>458</v>
      </c>
      <c r="C136" t="s">
        <v>459</v>
      </c>
      <c r="D136" t="s">
        <v>47</v>
      </c>
      <c r="E136" t="s">
        <v>76</v>
      </c>
      <c r="F136">
        <v>2018</v>
      </c>
      <c r="G136" t="s">
        <v>35</v>
      </c>
      <c r="H136" t="s">
        <v>28</v>
      </c>
      <c r="I136" t="s">
        <v>94</v>
      </c>
      <c r="J136">
        <v>5</v>
      </c>
      <c r="K136" s="2">
        <v>15000</v>
      </c>
      <c r="L136" s="2">
        <f>Africa_Car_Sales[[#This Row],[Cost Price ($)]]*Africa_Car_Sales[[#This Row],[Units Sold]]</f>
        <v>75000</v>
      </c>
      <c r="M136" s="2">
        <v>22953</v>
      </c>
      <c r="N136" s="2">
        <v>22000</v>
      </c>
      <c r="O136" s="2">
        <f>Africa_Car_Sales[[#This Row],[Sale Price ($)]]*Africa_Car_Sales[[#This Row],[Units Sold]]</f>
        <v>114765</v>
      </c>
      <c r="P136" s="2">
        <f>Africa_Car_Sales[[#This Row],[Revenue($)]]-Africa_Car_Sales[[#This Row],[Total Cost Price ($)]]</f>
        <v>39765</v>
      </c>
      <c r="Q136" s="3">
        <f>Africa_Car_Sales[[#This Row],[Total Profit ($)]]/Africa_Car_Sales[[#This Row],[Revenue($)]]</f>
        <v>0.34649065481636387</v>
      </c>
      <c r="R136" s="10">
        <f>Africa_Car_Sales[[#This Row],[Sale Price ($)]]-Africa_Car_Sales[[#This Row],[Market Value ($)]]</f>
        <v>953</v>
      </c>
      <c r="S136" s="5">
        <f>(Africa_Car_Sales[[#This Row],[Sale Price ($)]]-Africa_Car_Sales[[#This Row],[Market Value ($)]])/Africa_Car_Sales[[#This Row],[Market Value ($)]]</f>
        <v>4.3318181818181818E-2</v>
      </c>
      <c r="T136" t="s">
        <v>77</v>
      </c>
    </row>
    <row r="137" spans="1:20" x14ac:dyDescent="0.35">
      <c r="A137" t="s">
        <v>460</v>
      </c>
      <c r="B137" s="1" t="s">
        <v>461</v>
      </c>
      <c r="C137" t="s">
        <v>462</v>
      </c>
      <c r="D137" t="s">
        <v>113</v>
      </c>
      <c r="E137" t="s">
        <v>176</v>
      </c>
      <c r="F137">
        <v>2020</v>
      </c>
      <c r="G137" t="s">
        <v>27</v>
      </c>
      <c r="H137" t="s">
        <v>62</v>
      </c>
      <c r="I137" t="s">
        <v>63</v>
      </c>
      <c r="J137">
        <v>4</v>
      </c>
      <c r="K137" s="2">
        <v>20000</v>
      </c>
      <c r="L137" s="2">
        <f>Africa_Car_Sales[[#This Row],[Cost Price ($)]]*Africa_Car_Sales[[#This Row],[Units Sold]]</f>
        <v>80000</v>
      </c>
      <c r="M137" s="2">
        <v>27721</v>
      </c>
      <c r="N137" s="2">
        <v>28000</v>
      </c>
      <c r="O137" s="2">
        <f>Africa_Car_Sales[[#This Row],[Sale Price ($)]]*Africa_Car_Sales[[#This Row],[Units Sold]]</f>
        <v>110884</v>
      </c>
      <c r="P137" s="2">
        <f>Africa_Car_Sales[[#This Row],[Revenue($)]]-Africa_Car_Sales[[#This Row],[Total Cost Price ($)]]</f>
        <v>30884</v>
      </c>
      <c r="Q137" s="3">
        <f>Africa_Car_Sales[[#This Row],[Total Profit ($)]]/Africa_Car_Sales[[#This Row],[Revenue($)]]</f>
        <v>0.2785253057249017</v>
      </c>
      <c r="R137" s="10">
        <f>Africa_Car_Sales[[#This Row],[Sale Price ($)]]-Africa_Car_Sales[[#This Row],[Market Value ($)]]</f>
        <v>-279</v>
      </c>
      <c r="S137" s="5">
        <f>(Africa_Car_Sales[[#This Row],[Sale Price ($)]]-Africa_Car_Sales[[#This Row],[Market Value ($)]])/Africa_Car_Sales[[#This Row],[Market Value ($)]]</f>
        <v>-9.9642857142857137E-3</v>
      </c>
      <c r="T137" t="s">
        <v>177</v>
      </c>
    </row>
    <row r="138" spans="1:20" x14ac:dyDescent="0.35">
      <c r="A138" t="s">
        <v>463</v>
      </c>
      <c r="B138" s="1" t="s">
        <v>464</v>
      </c>
      <c r="C138" t="s">
        <v>465</v>
      </c>
      <c r="D138" t="s">
        <v>17</v>
      </c>
      <c r="E138" t="s">
        <v>18</v>
      </c>
      <c r="F138">
        <v>2024</v>
      </c>
      <c r="G138" t="s">
        <v>19</v>
      </c>
      <c r="H138" t="s">
        <v>67</v>
      </c>
      <c r="I138" t="s">
        <v>68</v>
      </c>
      <c r="J138">
        <v>4</v>
      </c>
      <c r="K138" s="2">
        <v>30000</v>
      </c>
      <c r="L138" s="2">
        <f>Africa_Car_Sales[[#This Row],[Cost Price ($)]]*Africa_Car_Sales[[#This Row],[Units Sold]]</f>
        <v>120000</v>
      </c>
      <c r="M138" s="2">
        <v>42980</v>
      </c>
      <c r="N138" s="2">
        <v>40000</v>
      </c>
      <c r="O138" s="2">
        <f>Africa_Car_Sales[[#This Row],[Sale Price ($)]]*Africa_Car_Sales[[#This Row],[Units Sold]]</f>
        <v>171920</v>
      </c>
      <c r="P138" s="2">
        <f>Africa_Car_Sales[[#This Row],[Revenue($)]]-Africa_Car_Sales[[#This Row],[Total Cost Price ($)]]</f>
        <v>51920</v>
      </c>
      <c r="Q138" s="3">
        <f>Africa_Car_Sales[[#This Row],[Total Profit ($)]]/Africa_Car_Sales[[#This Row],[Revenue($)]]</f>
        <v>0.30200093066542577</v>
      </c>
      <c r="R138" s="10">
        <f>Africa_Car_Sales[[#This Row],[Sale Price ($)]]-Africa_Car_Sales[[#This Row],[Market Value ($)]]</f>
        <v>2980</v>
      </c>
      <c r="S138" s="5">
        <f>(Africa_Car_Sales[[#This Row],[Sale Price ($)]]-Africa_Car_Sales[[#This Row],[Market Value ($)]])/Africa_Car_Sales[[#This Row],[Market Value ($)]]</f>
        <v>7.4499999999999997E-2</v>
      </c>
      <c r="T138" t="s">
        <v>22</v>
      </c>
    </row>
    <row r="139" spans="1:20" x14ac:dyDescent="0.35">
      <c r="A139" t="s">
        <v>466</v>
      </c>
      <c r="B139" s="1" t="s">
        <v>467</v>
      </c>
      <c r="C139" t="s">
        <v>468</v>
      </c>
      <c r="D139" t="s">
        <v>17</v>
      </c>
      <c r="E139" t="s">
        <v>98</v>
      </c>
      <c r="F139">
        <v>2019</v>
      </c>
      <c r="G139" t="s">
        <v>27</v>
      </c>
      <c r="H139" t="s">
        <v>67</v>
      </c>
      <c r="I139" t="s">
        <v>115</v>
      </c>
      <c r="J139">
        <v>5</v>
      </c>
      <c r="K139" s="2">
        <v>48000</v>
      </c>
      <c r="L139" s="2">
        <f>Africa_Car_Sales[[#This Row],[Cost Price ($)]]*Africa_Car_Sales[[#This Row],[Units Sold]]</f>
        <v>240000</v>
      </c>
      <c r="M139" s="2">
        <v>65144</v>
      </c>
      <c r="N139" s="2">
        <v>62000</v>
      </c>
      <c r="O139" s="2">
        <f>Africa_Car_Sales[[#This Row],[Sale Price ($)]]*Africa_Car_Sales[[#This Row],[Units Sold]]</f>
        <v>325720</v>
      </c>
      <c r="P139" s="2">
        <f>Africa_Car_Sales[[#This Row],[Revenue($)]]-Africa_Car_Sales[[#This Row],[Total Cost Price ($)]]</f>
        <v>85720</v>
      </c>
      <c r="Q139" s="3">
        <f>Africa_Car_Sales[[#This Row],[Total Profit ($)]]/Africa_Car_Sales[[#This Row],[Revenue($)]]</f>
        <v>0.26317082156453397</v>
      </c>
      <c r="R139" s="10">
        <f>Africa_Car_Sales[[#This Row],[Sale Price ($)]]-Africa_Car_Sales[[#This Row],[Market Value ($)]]</f>
        <v>3144</v>
      </c>
      <c r="S139" s="5">
        <f>(Africa_Car_Sales[[#This Row],[Sale Price ($)]]-Africa_Car_Sales[[#This Row],[Market Value ($)]])/Africa_Car_Sales[[#This Row],[Market Value ($)]]</f>
        <v>5.0709677419354837E-2</v>
      </c>
      <c r="T139" t="s">
        <v>100</v>
      </c>
    </row>
    <row r="140" spans="1:20" x14ac:dyDescent="0.35">
      <c r="A140" t="s">
        <v>469</v>
      </c>
      <c r="B140" s="1" t="s">
        <v>470</v>
      </c>
      <c r="C140" t="s">
        <v>25</v>
      </c>
      <c r="D140" t="s">
        <v>17</v>
      </c>
      <c r="E140" t="s">
        <v>42</v>
      </c>
      <c r="F140">
        <v>2021</v>
      </c>
      <c r="G140" t="s">
        <v>35</v>
      </c>
      <c r="H140" t="s">
        <v>28</v>
      </c>
      <c r="I140" t="s">
        <v>29</v>
      </c>
      <c r="J140">
        <v>3</v>
      </c>
      <c r="K140" s="2">
        <v>35000</v>
      </c>
      <c r="L140" s="2">
        <f>Africa_Car_Sales[[#This Row],[Cost Price ($)]]*Africa_Car_Sales[[#This Row],[Units Sold]]</f>
        <v>105000</v>
      </c>
      <c r="M140" s="2">
        <v>46894</v>
      </c>
      <c r="N140" s="2">
        <v>45000</v>
      </c>
      <c r="O140" s="2">
        <f>Africa_Car_Sales[[#This Row],[Sale Price ($)]]*Africa_Car_Sales[[#This Row],[Units Sold]]</f>
        <v>140682</v>
      </c>
      <c r="P140" s="2">
        <f>Africa_Car_Sales[[#This Row],[Revenue($)]]-Africa_Car_Sales[[#This Row],[Total Cost Price ($)]]</f>
        <v>35682</v>
      </c>
      <c r="Q140" s="3">
        <f>Africa_Car_Sales[[#This Row],[Total Profit ($)]]/Africa_Car_Sales[[#This Row],[Revenue($)]]</f>
        <v>0.25363585959824286</v>
      </c>
      <c r="R140" s="10">
        <f>Africa_Car_Sales[[#This Row],[Sale Price ($)]]-Africa_Car_Sales[[#This Row],[Market Value ($)]]</f>
        <v>1894</v>
      </c>
      <c r="S140" s="5">
        <f>(Africa_Car_Sales[[#This Row],[Sale Price ($)]]-Africa_Car_Sales[[#This Row],[Market Value ($)]])/Africa_Car_Sales[[#This Row],[Market Value ($)]]</f>
        <v>4.2088888888888891E-2</v>
      </c>
      <c r="T140" t="s">
        <v>43</v>
      </c>
    </row>
    <row r="141" spans="1:20" x14ac:dyDescent="0.35">
      <c r="A141" t="s">
        <v>471</v>
      </c>
      <c r="B141" s="1" t="s">
        <v>472</v>
      </c>
      <c r="C141" t="s">
        <v>473</v>
      </c>
      <c r="D141" t="s">
        <v>17</v>
      </c>
      <c r="E141" t="s">
        <v>34</v>
      </c>
      <c r="F141">
        <v>2019</v>
      </c>
      <c r="G141" t="s">
        <v>35</v>
      </c>
      <c r="H141" t="s">
        <v>82</v>
      </c>
      <c r="I141" t="s">
        <v>240</v>
      </c>
      <c r="J141">
        <v>3</v>
      </c>
      <c r="K141" s="2">
        <v>22000</v>
      </c>
      <c r="L141" s="2">
        <f>Africa_Car_Sales[[#This Row],[Cost Price ($)]]*Africa_Car_Sales[[#This Row],[Units Sold]]</f>
        <v>66000</v>
      </c>
      <c r="M141" s="2">
        <v>27536</v>
      </c>
      <c r="N141" s="2">
        <v>28000</v>
      </c>
      <c r="O141" s="2">
        <f>Africa_Car_Sales[[#This Row],[Sale Price ($)]]*Africa_Car_Sales[[#This Row],[Units Sold]]</f>
        <v>82608</v>
      </c>
      <c r="P141" s="2">
        <f>Africa_Car_Sales[[#This Row],[Revenue($)]]-Africa_Car_Sales[[#This Row],[Total Cost Price ($)]]</f>
        <v>16608</v>
      </c>
      <c r="Q141" s="3">
        <f>Africa_Car_Sales[[#This Row],[Total Profit ($)]]/Africa_Car_Sales[[#This Row],[Revenue($)]]</f>
        <v>0.2010459035444509</v>
      </c>
      <c r="R141" s="10">
        <f>Africa_Car_Sales[[#This Row],[Sale Price ($)]]-Africa_Car_Sales[[#This Row],[Market Value ($)]]</f>
        <v>-464</v>
      </c>
      <c r="S141" s="5">
        <f>(Africa_Car_Sales[[#This Row],[Sale Price ($)]]-Africa_Car_Sales[[#This Row],[Market Value ($)]])/Africa_Car_Sales[[#This Row],[Market Value ($)]]</f>
        <v>-1.657142857142857E-2</v>
      </c>
      <c r="T141" t="s">
        <v>38</v>
      </c>
    </row>
  </sheetData>
  <hyperlinks>
    <hyperlink ref="T2" r:id="rId1" xr:uid="{C5D31B7D-7615-49B4-98A4-2508C66AFFAC}"/>
    <hyperlink ref="T3" r:id="rId2" xr:uid="{A9AACEC9-46C3-488C-A2BB-DAF7BE61E720}"/>
    <hyperlink ref="T13" r:id="rId3" xr:uid="{82620F22-3A3B-41AE-BC46-5931D3FA756B}"/>
    <hyperlink ref="T6" r:id="rId4" xr:uid="{11DA675F-C499-4FA7-BB4C-D8ECA2B9D842}"/>
    <hyperlink ref="T7" r:id="rId5" xr:uid="{B6CA8AA5-C3E6-4077-AADB-993BF74F6BF4}"/>
  </hyperlinks>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882F-DA16-41D7-9F41-D4FE2ADC33F8}">
  <dimension ref="Q6:AG31"/>
  <sheetViews>
    <sheetView showGridLines="0" tabSelected="1" zoomScale="40" zoomScaleNormal="40" workbookViewId="0">
      <selection activeCell="AF21" sqref="AF21"/>
    </sheetView>
  </sheetViews>
  <sheetFormatPr defaultRowHeight="14.5" x14ac:dyDescent="0.35"/>
  <cols>
    <col min="23" max="23" width="8.7265625" customWidth="1"/>
  </cols>
  <sheetData>
    <row r="6" spans="17:33" x14ac:dyDescent="0.35">
      <c r="Q6" t="e" vm="1">
        <v>#VALUE!</v>
      </c>
    </row>
    <row r="16" spans="17:33" x14ac:dyDescent="0.35">
      <c r="AG16" t="s">
        <v>492</v>
      </c>
    </row>
    <row r="31" spans="27:27" x14ac:dyDescent="0.35">
      <c r="AA3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645A0C-844D-4160-BEA4-F237BC874B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Country</vt:lpstr>
      <vt:lpstr>Pivot Tables</vt:lpstr>
      <vt:lpstr>Africa Car Sales</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Aishat Abdulkareem</dc:creator>
  <cp:lastModifiedBy>Aishat Abdulkareem</cp:lastModifiedBy>
  <dcterms:created xsi:type="dcterms:W3CDTF">2026-06-14T07:14:09Z</dcterms:created>
  <dcterms:modified xsi:type="dcterms:W3CDTF">2026-06-20T09:49:32Z</dcterms:modified>
</cp:coreProperties>
</file>